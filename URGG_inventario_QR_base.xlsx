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REPOSICION" sheetId="2" state="visible" r:id="rId2"/>
    <sheet xmlns:r="http://schemas.openxmlformats.org/officeDocument/2006/relationships" name="INSTRUCCIONES" sheetId="3" state="visible" r:id="rId3"/>
  </sheets>
  <definedNames>
    <definedName name="_xlnm._FilterDatabase" localSheetId="0" hidden="1">'INVENTARIO'!$A$1:$H$258</definedName>
    <definedName name="_xlnm._FilterDatabase" localSheetId="1" hidden="1">'REPOSICION'!$A$1:$G$258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ventarioURGG" displayName="InventarioURGG" ref="A1:H258" headerRowCount="1">
  <autoFilter ref="A1:H258"/>
  <tableColumns count="8">
    <tableColumn id="1" name="Código QR"/>
    <tableColumn id="2" name="Medicamento / Artículo"/>
    <tableColumn id="3" name="Pacto"/>
    <tableColumn id="4" name="Stock contado"/>
    <tableColumn id="5" name="Stock objetivo"/>
    <tableColumn id="6" name="Ubicación"/>
    <tableColumn id="7" name="Último recuento"/>
    <tableColumn id="8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2" customWidth="1" min="3" max="3"/>
    <col width="16" customWidth="1" min="4" max="4"/>
    <col width="15" customWidth="1" min="5" max="5"/>
    <col width="20" customWidth="1" min="6" max="6"/>
    <col width="18" customWidth="1" min="7" max="7"/>
    <col width="18" customWidth="1" min="8" max="8"/>
  </cols>
  <sheetData>
    <row r="1">
      <c r="A1" s="1" t="inlineStr">
        <is>
          <t>Código QR</t>
        </is>
      </c>
      <c r="B1" s="1" t="inlineStr">
        <is>
          <t>Medicamento / Artículo</t>
        </is>
      </c>
      <c r="C1" s="1" t="inlineStr">
        <is>
          <t>Pacto</t>
        </is>
      </c>
      <c r="D1" s="1" t="inlineStr">
        <is>
          <t>Stock contado</t>
        </is>
      </c>
      <c r="E1" s="1" t="inlineStr">
        <is>
          <t>Stock objetivo</t>
        </is>
      </c>
      <c r="F1" s="1" t="inlineStr">
        <is>
          <t>Ubicación</t>
        </is>
      </c>
      <c r="G1" s="1" t="inlineStr">
        <is>
          <t>Último recuento</t>
        </is>
      </c>
      <c r="H1" s="1" t="inlineStr">
        <is>
          <t>Estado</t>
        </is>
      </c>
    </row>
    <row r="2">
      <c r="A2" t="inlineStr">
        <is>
          <t>URGG-001</t>
        </is>
      </c>
      <c r="B2" t="inlineStr">
        <is>
          <t>acetilCISTEina 5g/25ml vl (ANTIDOTO)</t>
        </is>
      </c>
      <c r="C2" t="n">
        <v>5</v>
      </c>
      <c r="D2" t="inlineStr"/>
      <c r="E2" t="n">
        <v>5</v>
      </c>
      <c r="F2" t="inlineStr"/>
      <c r="G2" t="inlineStr"/>
      <c r="H2" t="inlineStr"/>
    </row>
    <row r="3">
      <c r="A3" t="inlineStr">
        <is>
          <t>URGG-002</t>
        </is>
      </c>
      <c r="B3" t="inlineStr">
        <is>
          <t>acetilSALIcilico 100 mg comp.(ADIRO)</t>
        </is>
      </c>
      <c r="C3" t="n">
        <v>50</v>
      </c>
      <c r="D3" t="inlineStr"/>
      <c r="E3" t="n">
        <v>50</v>
      </c>
      <c r="F3" t="inlineStr"/>
      <c r="G3" t="inlineStr"/>
      <c r="H3" t="inlineStr"/>
    </row>
    <row r="4">
      <c r="A4" t="inlineStr">
        <is>
          <t>URGG-003</t>
        </is>
      </c>
      <c r="B4" t="inlineStr">
        <is>
          <t>ACETILSALICILICO 150 mg caps lib prolong</t>
        </is>
      </c>
      <c r="C4" t="n">
        <v>20</v>
      </c>
      <c r="D4" t="inlineStr"/>
      <c r="E4" t="n">
        <v>20</v>
      </c>
      <c r="F4" t="inlineStr"/>
      <c r="G4" t="inlineStr"/>
      <c r="H4" t="inlineStr"/>
    </row>
    <row r="5">
      <c r="A5" t="inlineStr">
        <is>
          <t>URGG-004</t>
        </is>
      </c>
      <c r="B5" t="inlineStr">
        <is>
          <t>acetilSALIcilico 500 mg comp.(ASPIRINA)</t>
        </is>
      </c>
      <c r="C5" t="n">
        <v>150</v>
      </c>
      <c r="D5" t="inlineStr"/>
      <c r="E5" t="n">
        <v>150</v>
      </c>
      <c r="F5" t="inlineStr"/>
      <c r="G5" t="inlineStr"/>
      <c r="H5" t="inlineStr"/>
    </row>
    <row r="6">
      <c r="A6" t="inlineStr">
        <is>
          <t>URGG-005</t>
        </is>
      </c>
      <c r="B6" t="inlineStr">
        <is>
          <t>ACICLOVIR 3% 4,5 g pda oftalmic(ZOVIRAX)</t>
        </is>
      </c>
      <c r="C6" t="n">
        <v>4</v>
      </c>
      <c r="D6" t="inlineStr"/>
      <c r="E6" t="n">
        <v>4</v>
      </c>
      <c r="F6" t="inlineStr"/>
      <c r="G6" t="inlineStr"/>
      <c r="H6" t="inlineStr"/>
    </row>
    <row r="7">
      <c r="A7" t="inlineStr">
        <is>
          <t>URGG-006</t>
        </is>
      </c>
      <c r="B7" t="inlineStr">
        <is>
          <t>ADENOSINA 30 mg vl(ADENOSCAN)</t>
        </is>
      </c>
      <c r="C7" t="n">
        <v>6</v>
      </c>
      <c r="D7" t="inlineStr"/>
      <c r="E7" t="n">
        <v>6</v>
      </c>
      <c r="F7" t="inlineStr"/>
      <c r="G7" t="inlineStr"/>
      <c r="H7" t="inlineStr"/>
    </row>
    <row r="8">
      <c r="A8" t="inlineStr">
        <is>
          <t>URGG-007</t>
        </is>
      </c>
      <c r="B8" t="inlineStr">
        <is>
          <t>ADENOSINA 6 mg vl(ADENOCOR)</t>
        </is>
      </c>
      <c r="C8" t="n">
        <v>20</v>
      </c>
      <c r="D8" t="inlineStr"/>
      <c r="E8" t="n">
        <v>20</v>
      </c>
      <c r="F8" t="inlineStr"/>
      <c r="G8" t="inlineStr"/>
      <c r="H8" t="inlineStr"/>
    </row>
    <row r="9">
      <c r="A9" t="inlineStr">
        <is>
          <t>URGG-008</t>
        </is>
      </c>
      <c r="B9" t="inlineStr">
        <is>
          <t>ADRENALINA 1 mg jer precg</t>
        </is>
      </c>
      <c r="C9" t="n">
        <v>10</v>
      </c>
      <c r="D9" t="inlineStr"/>
      <c r="E9" t="n">
        <v>10</v>
      </c>
      <c r="F9" t="inlineStr"/>
      <c r="G9" t="inlineStr"/>
      <c r="H9" t="inlineStr"/>
    </row>
    <row r="10">
      <c r="A10" t="inlineStr">
        <is>
          <t>URGG-009</t>
        </is>
      </c>
      <c r="B10" t="inlineStr">
        <is>
          <t>ADRENalina 1 mg/ml amp.</t>
        </is>
      </c>
      <c r="C10" t="n">
        <v>15</v>
      </c>
      <c r="D10" t="inlineStr"/>
      <c r="E10" t="n">
        <v>15</v>
      </c>
      <c r="F10" t="inlineStr"/>
      <c r="G10" t="inlineStr"/>
      <c r="H10" t="inlineStr"/>
    </row>
    <row r="11">
      <c r="A11" t="inlineStr">
        <is>
          <t>URGG-010</t>
        </is>
      </c>
      <c r="B11" t="inlineStr">
        <is>
          <t>AGUA PARA INYECCION 20 ml amp</t>
        </is>
      </c>
      <c r="C11" t="n">
        <v>20</v>
      </c>
      <c r="D11" t="inlineStr"/>
      <c r="E11" t="n">
        <v>20</v>
      </c>
      <c r="F11" t="inlineStr"/>
      <c r="G11" t="inlineStr"/>
      <c r="H11" t="inlineStr"/>
    </row>
    <row r="12">
      <c r="A12" t="inlineStr">
        <is>
          <t>URGG-011</t>
        </is>
      </c>
      <c r="B12" t="inlineStr">
        <is>
          <t>ALMAGATO 1,5 g sobre(ALMAX FORTE)</t>
        </is>
      </c>
      <c r="C12" t="n">
        <v>200</v>
      </c>
      <c r="D12" t="inlineStr"/>
      <c r="E12" t="n">
        <v>200</v>
      </c>
      <c r="F12" t="inlineStr"/>
      <c r="G12" t="inlineStr"/>
      <c r="H12" t="inlineStr"/>
    </row>
    <row r="13">
      <c r="A13" t="inlineStr">
        <is>
          <t>URGG-012</t>
        </is>
      </c>
      <c r="B13" t="inlineStr">
        <is>
          <t>ALPRAZolam 0,5 mg comp(ALPRAZOLAM)</t>
        </is>
      </c>
      <c r="C13" t="n">
        <v>20</v>
      </c>
      <c r="D13" t="inlineStr"/>
      <c r="E13" t="n">
        <v>20</v>
      </c>
      <c r="F13" t="inlineStr"/>
      <c r="G13" t="inlineStr"/>
      <c r="H13" t="inlineStr"/>
    </row>
    <row r="14">
      <c r="A14" t="inlineStr">
        <is>
          <t>URGG-013</t>
        </is>
      </c>
      <c r="B14" t="inlineStr">
        <is>
          <t>ALPRAZolam 1 mg comp.(ALPRAZOLAM)</t>
        </is>
      </c>
      <c r="C14" t="n">
        <v>20</v>
      </c>
      <c r="D14" t="inlineStr"/>
      <c r="E14" t="n">
        <v>20</v>
      </c>
      <c r="F14" t="inlineStr"/>
      <c r="G14" t="inlineStr"/>
      <c r="H14" t="inlineStr"/>
    </row>
    <row r="15">
      <c r="A15" t="inlineStr">
        <is>
          <t>URGG-014</t>
        </is>
      </c>
      <c r="B15" t="inlineStr">
        <is>
          <t>ALTEplasa 20 mg vl.(ACTYLISE)</t>
        </is>
      </c>
      <c r="C15" t="n">
        <v>2</v>
      </c>
      <c r="D15" t="inlineStr"/>
      <c r="E15" t="n">
        <v>2</v>
      </c>
      <c r="F15" t="inlineStr"/>
      <c r="G15" t="inlineStr"/>
      <c r="H15" t="inlineStr"/>
    </row>
    <row r="16">
      <c r="A16" t="inlineStr">
        <is>
          <t>URGG-015</t>
        </is>
      </c>
      <c r="B16" t="inlineStr">
        <is>
          <t>ALTEplasa 50 mg vl.(ACTYLISE)</t>
        </is>
      </c>
      <c r="C16" t="n">
        <v>1</v>
      </c>
      <c r="D16" t="inlineStr"/>
      <c r="E16" t="n">
        <v>1</v>
      </c>
      <c r="F16" t="inlineStr"/>
      <c r="G16" t="inlineStr"/>
      <c r="H16" t="inlineStr"/>
    </row>
    <row r="17">
      <c r="A17" t="inlineStr">
        <is>
          <t>URGG-016</t>
        </is>
      </c>
      <c r="B17" t="inlineStr">
        <is>
          <t>AMIODARONA 150 mg/3 ml amp.(TRANGOREX)</t>
        </is>
      </c>
      <c r="C17" t="n">
        <v>50</v>
      </c>
      <c r="D17" t="inlineStr"/>
      <c r="E17" t="n">
        <v>50</v>
      </c>
      <c r="F17" t="inlineStr"/>
      <c r="G17" t="inlineStr"/>
      <c r="H17" t="inlineStr"/>
    </row>
    <row r="18">
      <c r="A18" t="inlineStr">
        <is>
          <t>URGG-017</t>
        </is>
      </c>
      <c r="B18" t="inlineStr">
        <is>
          <t>AMIODARONA 200 mg comp.(TRANGOREX)</t>
        </is>
      </c>
      <c r="C18" t="n">
        <v>5</v>
      </c>
      <c r="D18" t="inlineStr"/>
      <c r="E18" t="n">
        <v>5</v>
      </c>
      <c r="F18" t="inlineStr"/>
      <c r="G18" t="inlineStr"/>
      <c r="H18" t="inlineStr"/>
    </row>
    <row r="19">
      <c r="A19" t="inlineStr">
        <is>
          <t>URGG-018</t>
        </is>
      </c>
      <c r="B19" t="inlineStr">
        <is>
          <t>amLODIPino 10 mg comp.(NORVAS)</t>
        </is>
      </c>
      <c r="C19" t="n">
        <v>10</v>
      </c>
      <c r="D19" t="inlineStr"/>
      <c r="E19" t="n">
        <v>10</v>
      </c>
      <c r="F19" t="inlineStr"/>
      <c r="G19" t="inlineStr"/>
      <c r="H19" t="inlineStr"/>
    </row>
    <row r="20">
      <c r="A20" t="inlineStr">
        <is>
          <t>URGG-019</t>
        </is>
      </c>
      <c r="B20" t="inlineStr">
        <is>
          <t>AMOXICILINA 500 mg caps.</t>
        </is>
      </c>
      <c r="C20" t="n">
        <v>25</v>
      </c>
      <c r="D20" t="inlineStr"/>
      <c r="E20" t="n">
        <v>25</v>
      </c>
      <c r="F20" t="inlineStr"/>
      <c r="G20" t="inlineStr"/>
      <c r="H20" t="inlineStr"/>
    </row>
    <row r="21">
      <c r="A21" t="inlineStr">
        <is>
          <t>URGG-020</t>
        </is>
      </c>
      <c r="B21" t="inlineStr">
        <is>
          <t>AMOXICILINA 500 mg sobre</t>
        </is>
      </c>
      <c r="C21" t="n">
        <v>70</v>
      </c>
      <c r="D21" t="inlineStr"/>
      <c r="E21" t="n">
        <v>70</v>
      </c>
      <c r="F21" t="inlineStr"/>
      <c r="G21" t="inlineStr"/>
      <c r="H21" t="inlineStr"/>
    </row>
    <row r="22">
      <c r="A22" t="inlineStr">
        <is>
          <t>URGG-021</t>
        </is>
      </c>
      <c r="B22" t="inlineStr">
        <is>
          <t>AMOXICILINA+CLAVUL. 1g/200 mg iny</t>
        </is>
      </c>
      <c r="C22" t="n">
        <v>10</v>
      </c>
      <c r="D22" t="inlineStr"/>
      <c r="E22" t="n">
        <v>10</v>
      </c>
      <c r="F22" t="inlineStr"/>
      <c r="G22" t="inlineStr"/>
      <c r="H22" t="inlineStr"/>
    </row>
    <row r="23">
      <c r="A23" t="inlineStr">
        <is>
          <t>URGG-022</t>
        </is>
      </c>
      <c r="B23" t="inlineStr">
        <is>
          <t>AMOXICILINA+CLAVUL 875/125 sob</t>
        </is>
      </c>
      <c r="C23" t="n">
        <v>350</v>
      </c>
      <c r="D23" t="inlineStr"/>
      <c r="E23" t="n">
        <v>350</v>
      </c>
      <c r="F23" t="inlineStr"/>
      <c r="G23" t="inlineStr"/>
      <c r="H23" t="inlineStr"/>
    </row>
    <row r="24">
      <c r="A24" t="inlineStr">
        <is>
          <t>URGG-023</t>
        </is>
      </c>
      <c r="B24" t="inlineStr">
        <is>
          <t>APIXABAN 5 mg comp</t>
        </is>
      </c>
      <c r="C24" t="n">
        <v>20</v>
      </c>
      <c r="D24" t="inlineStr"/>
      <c r="E24" t="n">
        <v>20</v>
      </c>
      <c r="F24" t="inlineStr"/>
      <c r="G24" t="inlineStr"/>
      <c r="H24" t="inlineStr"/>
    </row>
    <row r="25">
      <c r="A25" t="inlineStr">
        <is>
          <t>URGG-024</t>
        </is>
      </c>
      <c r="B25" t="inlineStr">
        <is>
          <t>APOSITO CICATRIZANTE 15X9 (LINITUL)</t>
        </is>
      </c>
      <c r="C25" t="n">
        <v>30</v>
      </c>
      <c r="D25" t="inlineStr"/>
      <c r="E25" t="n">
        <v>30</v>
      </c>
      <c r="F25" t="inlineStr"/>
      <c r="G25" t="inlineStr"/>
      <c r="H25" t="inlineStr"/>
    </row>
    <row r="26">
      <c r="A26" t="inlineStr">
        <is>
          <t>URGG-025</t>
        </is>
      </c>
      <c r="B26" t="inlineStr">
        <is>
          <t>APOSITO CICATRIZANTE 25X15 (LINITUL)</t>
        </is>
      </c>
      <c r="C26" t="n">
        <v>3</v>
      </c>
      <c r="D26" t="inlineStr"/>
      <c r="E26" t="n">
        <v>3</v>
      </c>
      <c r="F26" t="inlineStr"/>
      <c r="G26" t="inlineStr"/>
      <c r="H26" t="inlineStr"/>
    </row>
    <row r="27">
      <c r="A27" t="inlineStr">
        <is>
          <t>URGG-026</t>
        </is>
      </c>
      <c r="B27" t="inlineStr">
        <is>
          <t>ATRACURIO 50 mg/5 ml amp.(TRACRIUM)</t>
        </is>
      </c>
      <c r="C27" t="n">
        <v>5</v>
      </c>
      <c r="D27" t="inlineStr"/>
      <c r="E27" t="n">
        <v>5</v>
      </c>
      <c r="F27" t="inlineStr"/>
      <c r="G27" t="inlineStr"/>
      <c r="H27" t="inlineStr"/>
    </row>
    <row r="28">
      <c r="A28" t="inlineStr">
        <is>
          <t>URGG-027</t>
        </is>
      </c>
      <c r="B28" t="inlineStr">
        <is>
          <t>ATROPina 0,5% 10 ml colirio</t>
        </is>
      </c>
      <c r="C28" t="n">
        <v>1</v>
      </c>
      <c r="D28" t="inlineStr"/>
      <c r="E28" t="n">
        <v>1</v>
      </c>
      <c r="F28" t="inlineStr"/>
      <c r="G28" t="inlineStr"/>
      <c r="H28" t="inlineStr"/>
    </row>
    <row r="29">
      <c r="A29" t="inlineStr">
        <is>
          <t>URGG-028</t>
        </is>
      </c>
      <c r="B29" t="inlineStr">
        <is>
          <t>ATROPina 1 mg/ml amp. (ATROPINA)</t>
        </is>
      </c>
      <c r="C29" t="n">
        <v>10</v>
      </c>
      <c r="D29" t="inlineStr"/>
      <c r="E29" t="n">
        <v>10</v>
      </c>
      <c r="F29" t="inlineStr"/>
      <c r="G29" t="inlineStr"/>
      <c r="H29" t="inlineStr"/>
    </row>
    <row r="30">
      <c r="A30" t="inlineStr">
        <is>
          <t>URGG-029</t>
        </is>
      </c>
      <c r="B30" t="inlineStr">
        <is>
          <t>aziTROMICina 500 mg IV</t>
        </is>
      </c>
      <c r="C30" t="n">
        <v>1</v>
      </c>
      <c r="D30" t="inlineStr"/>
      <c r="E30" t="n">
        <v>1</v>
      </c>
      <c r="F30" t="inlineStr"/>
      <c r="G30" t="inlineStr"/>
      <c r="H30" t="inlineStr"/>
    </row>
    <row r="31">
      <c r="A31" t="inlineStr">
        <is>
          <t>URGG-030</t>
        </is>
      </c>
      <c r="B31" t="inlineStr">
        <is>
          <t>BALSAMO PERU+AC.RICINO 30g pda(LINITUL)</t>
        </is>
      </c>
      <c r="C31" t="n">
        <v>5</v>
      </c>
      <c r="D31" t="inlineStr"/>
      <c r="E31" t="n">
        <v>5</v>
      </c>
      <c r="F31" t="inlineStr"/>
      <c r="G31" t="inlineStr"/>
      <c r="H31" t="inlineStr"/>
    </row>
    <row r="32">
      <c r="A32" t="inlineStr">
        <is>
          <t>URGG-031</t>
        </is>
      </c>
      <c r="B32" t="inlineStr">
        <is>
          <t>BECLOMETASONA+CLIOQUINOL gota(MENADERM)</t>
        </is>
      </c>
      <c r="C32" t="n">
        <v>6</v>
      </c>
      <c r="D32" t="inlineStr"/>
      <c r="E32" t="n">
        <v>6</v>
      </c>
      <c r="F32" t="inlineStr"/>
      <c r="G32" t="inlineStr"/>
      <c r="H32" t="inlineStr"/>
    </row>
    <row r="33">
      <c r="A33" t="inlineStr">
        <is>
          <t>URGG-032</t>
        </is>
      </c>
      <c r="B33" t="inlineStr">
        <is>
          <t>BEMIPARINA 2500 UI jer.(HIBOR)</t>
        </is>
      </c>
      <c r="C33" t="n">
        <v>10</v>
      </c>
      <c r="D33" t="inlineStr"/>
      <c r="E33" t="n">
        <v>10</v>
      </c>
      <c r="F33" t="inlineStr"/>
      <c r="G33" t="inlineStr"/>
      <c r="H33" t="inlineStr"/>
    </row>
    <row r="34">
      <c r="A34" t="inlineStr">
        <is>
          <t>URGG-033</t>
        </is>
      </c>
      <c r="B34" t="inlineStr">
        <is>
          <t>BEMIPARINA 3500 UI jer.(HIBOR)</t>
        </is>
      </c>
      <c r="C34" t="n">
        <v>10</v>
      </c>
      <c r="D34" t="inlineStr"/>
      <c r="E34" t="n">
        <v>10</v>
      </c>
      <c r="F34" t="inlineStr"/>
      <c r="G34" t="inlineStr"/>
      <c r="H34" t="inlineStr"/>
    </row>
    <row r="35">
      <c r="A35" t="inlineStr">
        <is>
          <t>URGG-034</t>
        </is>
      </c>
      <c r="B35" t="inlineStr">
        <is>
          <t>BEMIPARINA 5000 UI jer</t>
        </is>
      </c>
      <c r="C35" t="n">
        <v>10</v>
      </c>
      <c r="D35" t="inlineStr"/>
      <c r="E35" t="n">
        <v>10</v>
      </c>
      <c r="F35" t="inlineStr"/>
      <c r="G35" t="inlineStr"/>
      <c r="H35" t="inlineStr"/>
    </row>
    <row r="36">
      <c r="A36" t="inlineStr">
        <is>
          <t>URGG-035</t>
        </is>
      </c>
      <c r="B36" t="inlineStr">
        <is>
          <t>BEMIPARINA 7500 UI jer.</t>
        </is>
      </c>
      <c r="C36" t="n">
        <v>10</v>
      </c>
      <c r="D36" t="inlineStr"/>
      <c r="E36" t="n">
        <v>10</v>
      </c>
      <c r="F36" t="inlineStr"/>
      <c r="G36" t="inlineStr"/>
      <c r="H36" t="inlineStr"/>
    </row>
    <row r="37">
      <c r="A37" t="inlineStr">
        <is>
          <t>URGG-036</t>
        </is>
      </c>
      <c r="B37" t="inlineStr">
        <is>
          <t>BETAmetasona 0,05% crema(CELESTODERM)</t>
        </is>
      </c>
      <c r="C37" t="n">
        <v>6</v>
      </c>
      <c r="D37" t="inlineStr"/>
      <c r="E37" t="n">
        <v>6</v>
      </c>
      <c r="F37" t="inlineStr"/>
      <c r="G37" t="inlineStr"/>
      <c r="H37" t="inlineStr"/>
    </row>
    <row r="38">
      <c r="A38" t="inlineStr">
        <is>
          <t>URGG-037</t>
        </is>
      </c>
      <c r="B38" t="inlineStr">
        <is>
          <t>BICARBONATO SODICO 1 M 250 ml</t>
        </is>
      </c>
      <c r="C38" t="n">
        <v>5</v>
      </c>
      <c r="D38" t="inlineStr"/>
      <c r="E38" t="n">
        <v>5</v>
      </c>
      <c r="F38" t="inlineStr"/>
      <c r="G38" t="inlineStr"/>
      <c r="H38" t="inlineStr"/>
    </row>
    <row r="39">
      <c r="A39" t="inlineStr">
        <is>
          <t>URGG-038</t>
        </is>
      </c>
      <c r="B39" t="inlineStr">
        <is>
          <t>BICARBONATO SODICO 1M amp 10ml</t>
        </is>
      </c>
      <c r="C39" t="n">
        <v>50</v>
      </c>
      <c r="D39" t="inlineStr"/>
      <c r="E39" t="n">
        <v>50</v>
      </c>
      <c r="F39" t="inlineStr"/>
      <c r="G39" t="inlineStr"/>
      <c r="H39" t="inlineStr"/>
    </row>
    <row r="40">
      <c r="A40" t="inlineStr">
        <is>
          <t>URGG-039</t>
        </is>
      </c>
      <c r="B40" t="inlineStr">
        <is>
          <t>BISOPROLOL 2,5 mg comp</t>
        </is>
      </c>
      <c r="C40" t="n">
        <v>10</v>
      </c>
      <c r="D40" t="inlineStr"/>
      <c r="E40" t="n">
        <v>10</v>
      </c>
      <c r="F40" t="inlineStr"/>
      <c r="G40" t="inlineStr"/>
      <c r="H40" t="inlineStr"/>
    </row>
    <row r="41">
      <c r="A41" t="inlineStr">
        <is>
          <t>URGG-040</t>
        </is>
      </c>
      <c r="B41" t="inlineStr">
        <is>
          <t>BUDESONIDA/FORMOTEROL 160/4,5 mcg/inh presur.</t>
        </is>
      </c>
      <c r="C41" t="n">
        <v>1</v>
      </c>
      <c r="D41" t="inlineStr"/>
      <c r="E41" t="n">
        <v>1</v>
      </c>
      <c r="F41" t="inlineStr"/>
      <c r="G41" t="inlineStr"/>
      <c r="H41" t="inlineStr"/>
    </row>
    <row r="42">
      <c r="A42" t="inlineStr">
        <is>
          <t>URGG-041</t>
        </is>
      </c>
      <c r="B42" t="inlineStr">
        <is>
          <t>BUDESONIDO 0,25 mg/ml neb.</t>
        </is>
      </c>
      <c r="C42" t="n">
        <v>25</v>
      </c>
      <c r="D42" t="inlineStr"/>
      <c r="E42" t="n">
        <v>25</v>
      </c>
      <c r="F42" t="inlineStr"/>
      <c r="G42" t="inlineStr"/>
      <c r="H42" t="inlineStr"/>
    </row>
    <row r="43">
      <c r="A43" t="inlineStr">
        <is>
          <t>URGG-042</t>
        </is>
      </c>
      <c r="B43" t="inlineStr">
        <is>
          <t>BUTILESCOPOLAMINA 10 mg comp (BUSCAPINA)</t>
        </is>
      </c>
      <c r="C43" t="n">
        <v>150</v>
      </c>
      <c r="D43" t="inlineStr"/>
      <c r="E43" t="n">
        <v>150</v>
      </c>
      <c r="F43" t="inlineStr"/>
      <c r="G43" t="inlineStr"/>
      <c r="H43" t="inlineStr"/>
    </row>
    <row r="44">
      <c r="A44" t="inlineStr">
        <is>
          <t>URGG-043</t>
        </is>
      </c>
      <c r="B44" t="inlineStr">
        <is>
          <t>BUTILESCOPOLAMINA 20 mg amp.(BUSCAPINA)</t>
        </is>
      </c>
      <c r="C44" t="n">
        <v>15</v>
      </c>
      <c r="D44" t="inlineStr"/>
      <c r="E44" t="n">
        <v>15</v>
      </c>
      <c r="F44" t="inlineStr"/>
      <c r="G44" t="inlineStr"/>
      <c r="H44" t="inlineStr"/>
    </row>
    <row r="45">
      <c r="A45" t="inlineStr">
        <is>
          <t>URGG-044</t>
        </is>
      </c>
      <c r="B45" t="inlineStr">
        <is>
          <t>CALCIO CLORURO 10% 9,3 mEq Ca/10ml amp</t>
        </is>
      </c>
      <c r="C45" t="n">
        <v>10</v>
      </c>
      <c r="D45" t="inlineStr"/>
      <c r="E45" t="n">
        <v>10</v>
      </c>
      <c r="F45" t="inlineStr"/>
      <c r="G45" t="inlineStr"/>
      <c r="H45" t="inlineStr"/>
    </row>
    <row r="46">
      <c r="A46" t="inlineStr">
        <is>
          <t>URGG-045</t>
        </is>
      </c>
      <c r="B46" t="inlineStr">
        <is>
          <t>CALCIO GLUCON. 4,6 mEq Ca/10ml(SUPLECAL)</t>
        </is>
      </c>
      <c r="C46" t="n">
        <v>7</v>
      </c>
      <c r="D46" t="inlineStr"/>
      <c r="E46" t="n">
        <v>7</v>
      </c>
      <c r="F46" t="inlineStr"/>
      <c r="G46" t="inlineStr"/>
      <c r="H46" t="inlineStr"/>
    </row>
    <row r="47">
      <c r="A47" t="inlineStr">
        <is>
          <t>URGG-046</t>
        </is>
      </c>
      <c r="B47" t="inlineStr">
        <is>
          <t>CAPTOPRILO 25 mg comp.</t>
        </is>
      </c>
      <c r="C47" t="n">
        <v>100</v>
      </c>
      <c r="D47" t="inlineStr"/>
      <c r="E47" t="n">
        <v>100</v>
      </c>
      <c r="F47" t="inlineStr"/>
      <c r="G47" t="inlineStr"/>
      <c r="H47" t="inlineStr"/>
    </row>
    <row r="48">
      <c r="A48" t="inlineStr">
        <is>
          <t>URGG-047</t>
        </is>
      </c>
      <c r="B48" t="inlineStr">
        <is>
          <t>CARBON ACTIVO 25 g(CARBON)</t>
        </is>
      </c>
      <c r="C48" t="n">
        <v>10</v>
      </c>
      <c r="D48" t="inlineStr"/>
      <c r="E48" t="n">
        <v>10</v>
      </c>
      <c r="F48" t="inlineStr"/>
      <c r="G48" t="inlineStr"/>
      <c r="H48" t="inlineStr"/>
    </row>
    <row r="49">
      <c r="A49" t="inlineStr">
        <is>
          <t>URGG-048</t>
        </is>
      </c>
      <c r="B49" t="inlineStr">
        <is>
          <t>ceFAZolina 2 g IV vl(CEFAZOLINA)</t>
        </is>
      </c>
      <c r="C49" t="n">
        <v>4</v>
      </c>
      <c r="D49" t="inlineStr"/>
      <c r="E49" t="n">
        <v>4</v>
      </c>
      <c r="F49" t="inlineStr"/>
      <c r="G49" t="inlineStr"/>
      <c r="H49" t="inlineStr"/>
    </row>
    <row r="50">
      <c r="A50" t="inlineStr">
        <is>
          <t>URGG-049</t>
        </is>
      </c>
      <c r="B50" t="inlineStr">
        <is>
          <t>cefOTAXima 1 g IV vl(CLAFORAN)</t>
        </is>
      </c>
      <c r="C50" t="n">
        <v>10</v>
      </c>
      <c r="D50" t="inlineStr"/>
      <c r="E50" t="n">
        <v>10</v>
      </c>
      <c r="F50" t="inlineStr"/>
      <c r="G50" t="inlineStr"/>
      <c r="H50" t="inlineStr"/>
    </row>
    <row r="51">
      <c r="A51" t="inlineStr">
        <is>
          <t>URGG-050</t>
        </is>
      </c>
      <c r="B51" t="inlineStr">
        <is>
          <t>cefOTAXima 2 g IV vl(CLAFORAN)</t>
        </is>
      </c>
      <c r="C51" t="n">
        <v>10</v>
      </c>
      <c r="D51" t="inlineStr"/>
      <c r="E51" t="n">
        <v>10</v>
      </c>
      <c r="F51" t="inlineStr"/>
      <c r="G51" t="inlineStr"/>
      <c r="H51" t="inlineStr"/>
    </row>
    <row r="52">
      <c r="A52" t="inlineStr">
        <is>
          <t>URGG-051</t>
        </is>
      </c>
      <c r="B52" t="inlineStr">
        <is>
          <t>cefTRIAXona 1 g IV vl.</t>
        </is>
      </c>
      <c r="C52" t="n">
        <v>10</v>
      </c>
      <c r="D52" t="inlineStr"/>
      <c r="E52" t="n">
        <v>10</v>
      </c>
      <c r="F52" t="inlineStr"/>
      <c r="G52" t="inlineStr"/>
      <c r="H52" t="inlineStr"/>
    </row>
    <row r="53">
      <c r="A53" t="inlineStr">
        <is>
          <t>URGG-052</t>
        </is>
      </c>
      <c r="B53" t="inlineStr">
        <is>
          <t>cefUROXima-AXETILO 500 mg comp</t>
        </is>
      </c>
      <c r="C53" t="n">
        <v>250</v>
      </c>
      <c r="D53" t="inlineStr"/>
      <c r="E53" t="n">
        <v>250</v>
      </c>
      <c r="F53" t="inlineStr"/>
      <c r="G53" t="inlineStr"/>
      <c r="H53" t="inlineStr"/>
    </row>
    <row r="54">
      <c r="A54" t="inlineStr">
        <is>
          <t>URGG-053</t>
        </is>
      </c>
      <c r="B54" t="inlineStr">
        <is>
          <t>CICLOPENTOLATO 1% colirio</t>
        </is>
      </c>
      <c r="C54" t="n">
        <v>12</v>
      </c>
      <c r="D54" t="inlineStr"/>
      <c r="E54" t="n">
        <v>12</v>
      </c>
      <c r="F54" t="inlineStr"/>
      <c r="G54" t="inlineStr"/>
      <c r="H54" t="inlineStr"/>
    </row>
    <row r="55">
      <c r="A55" t="inlineStr">
        <is>
          <t>URGG-054</t>
        </is>
      </c>
      <c r="B55" t="inlineStr">
        <is>
          <t>CIPROFLOXACINO 0,3% colirio monodosis</t>
        </is>
      </c>
      <c r="C55" t="n">
        <v>20</v>
      </c>
      <c r="D55" t="inlineStr"/>
      <c r="E55" t="n">
        <v>20</v>
      </c>
      <c r="F55" t="inlineStr"/>
      <c r="G55" t="inlineStr"/>
      <c r="H55" t="inlineStr"/>
    </row>
    <row r="56">
      <c r="A56" t="inlineStr">
        <is>
          <t>URGG-055</t>
        </is>
      </c>
      <c r="B56" t="inlineStr">
        <is>
          <t>CIPROFLOXACINO. 0,3% gts oticas(CETRAXAL)</t>
        </is>
      </c>
      <c r="C56" t="n">
        <v>5</v>
      </c>
      <c r="D56" t="inlineStr"/>
      <c r="E56" t="n">
        <v>5</v>
      </c>
      <c r="F56" t="inlineStr"/>
      <c r="G56" t="inlineStr"/>
      <c r="H56" t="inlineStr"/>
    </row>
    <row r="57">
      <c r="A57" t="inlineStr">
        <is>
          <t>URGG-056</t>
        </is>
      </c>
      <c r="B57" t="inlineStr">
        <is>
          <t>CIPROFLOXACINO 200 mg iny</t>
        </is>
      </c>
      <c r="C57" t="n">
        <v>10</v>
      </c>
      <c r="D57" t="inlineStr"/>
      <c r="E57" t="n">
        <v>10</v>
      </c>
      <c r="F57" t="inlineStr"/>
      <c r="G57" t="inlineStr"/>
      <c r="H57" t="inlineStr"/>
    </row>
    <row r="58">
      <c r="A58" t="inlineStr">
        <is>
          <t>URGG-057</t>
        </is>
      </c>
      <c r="B58" t="inlineStr">
        <is>
          <t>CIPROFLOXACINO 400 mg iny</t>
        </is>
      </c>
      <c r="C58" t="n">
        <v>10</v>
      </c>
      <c r="D58" t="inlineStr"/>
      <c r="E58" t="n">
        <v>10</v>
      </c>
      <c r="F58" t="inlineStr"/>
      <c r="G58" t="inlineStr"/>
      <c r="H58" t="inlineStr"/>
    </row>
    <row r="59">
      <c r="A59" t="inlineStr">
        <is>
          <t>URGG-058</t>
        </is>
      </c>
      <c r="B59" t="inlineStr">
        <is>
          <t>CIPROFLOXACINO 500 mg comp.</t>
        </is>
      </c>
      <c r="C59" t="n">
        <v>650</v>
      </c>
      <c r="D59" t="inlineStr"/>
      <c r="E59" t="n">
        <v>650</v>
      </c>
      <c r="F59" t="inlineStr"/>
      <c r="G59" t="inlineStr"/>
      <c r="H59" t="inlineStr"/>
    </row>
    <row r="60">
      <c r="A60" t="inlineStr">
        <is>
          <t>URGG-059</t>
        </is>
      </c>
      <c r="B60" t="inlineStr">
        <is>
          <t>CISATRACURIO 2 mg/ml 10ml amp</t>
        </is>
      </c>
      <c r="C60" t="n">
        <v>10</v>
      </c>
      <c r="D60" t="inlineStr"/>
      <c r="E60" t="n">
        <v>10</v>
      </c>
      <c r="F60" t="inlineStr"/>
      <c r="G60" t="inlineStr"/>
      <c r="H60" t="inlineStr"/>
    </row>
    <row r="61">
      <c r="A61" t="inlineStr">
        <is>
          <t>URGG-060</t>
        </is>
      </c>
      <c r="B61" t="inlineStr">
        <is>
          <t>clonazePAM 0,5 mg comp(RIVOTRIL)</t>
        </is>
      </c>
      <c r="C61" t="n">
        <v>20</v>
      </c>
      <c r="D61" t="inlineStr"/>
      <c r="E61" t="n">
        <v>20</v>
      </c>
      <c r="F61" t="inlineStr"/>
      <c r="G61" t="inlineStr"/>
      <c r="H61" t="inlineStr"/>
    </row>
    <row r="62">
      <c r="A62" t="inlineStr">
        <is>
          <t>URGG-061</t>
        </is>
      </c>
      <c r="B62" t="inlineStr">
        <is>
          <t>clonazePAM 2 mg comp</t>
        </is>
      </c>
      <c r="C62" t="n">
        <v>20</v>
      </c>
      <c r="D62" t="inlineStr"/>
      <c r="E62" t="n">
        <v>20</v>
      </c>
      <c r="F62" t="inlineStr"/>
      <c r="G62" t="inlineStr"/>
      <c r="H62" t="inlineStr"/>
    </row>
    <row r="63">
      <c r="A63" t="inlineStr">
        <is>
          <t>URGG-062</t>
        </is>
      </c>
      <c r="B63" t="inlineStr">
        <is>
          <t>CLOPIDOGREL 300 mg comp(PLAVIX)</t>
        </is>
      </c>
      <c r="C63" t="n">
        <v>10</v>
      </c>
      <c r="D63" t="inlineStr"/>
      <c r="E63" t="n">
        <v>10</v>
      </c>
      <c r="F63" t="inlineStr"/>
      <c r="G63" t="inlineStr"/>
      <c r="H63" t="inlineStr"/>
    </row>
    <row r="64">
      <c r="A64" t="inlineStr">
        <is>
          <t>URGG-063</t>
        </is>
      </c>
      <c r="B64" t="inlineStr">
        <is>
          <t>CLOPIDOGREL 75 mg comp.(PLAVIX)</t>
        </is>
      </c>
      <c r="C64" t="n">
        <v>15</v>
      </c>
      <c r="D64" t="inlineStr"/>
      <c r="E64" t="n">
        <v>15</v>
      </c>
      <c r="F64" t="inlineStr"/>
      <c r="G64" t="inlineStr"/>
      <c r="H64" t="inlineStr"/>
    </row>
    <row r="65">
      <c r="A65" t="inlineStr">
        <is>
          <t>URGG-064</t>
        </is>
      </c>
      <c r="B65" t="inlineStr">
        <is>
          <t>CLORAZEPATO DIPOT. 10 mg cap</t>
        </is>
      </c>
      <c r="C65" t="n">
        <v>20</v>
      </c>
      <c r="D65" t="inlineStr"/>
      <c r="E65" t="n">
        <v>20</v>
      </c>
      <c r="F65" t="inlineStr"/>
      <c r="G65" t="inlineStr"/>
      <c r="H65" t="inlineStr"/>
    </row>
    <row r="66">
      <c r="A66" t="inlineStr">
        <is>
          <t>URGG-065</t>
        </is>
      </c>
      <c r="B66" t="inlineStr">
        <is>
          <t>CLORAZEPATO DIPOT. 15 mg cap</t>
        </is>
      </c>
      <c r="C66" t="n">
        <v>20</v>
      </c>
      <c r="D66" t="inlineStr"/>
      <c r="E66" t="n">
        <v>20</v>
      </c>
      <c r="F66" t="inlineStr"/>
      <c r="G66" t="inlineStr"/>
      <c r="H66" t="inlineStr"/>
    </row>
    <row r="67">
      <c r="A67" t="inlineStr">
        <is>
          <t>URGG-066</t>
        </is>
      </c>
      <c r="B67" t="inlineStr">
        <is>
          <t>CLORAZEPATO DIPOT. 20 mg iny(TRANXILIUM)</t>
        </is>
      </c>
      <c r="C67" t="n">
        <v>10</v>
      </c>
      <c r="D67" t="inlineStr"/>
      <c r="E67" t="n">
        <v>10</v>
      </c>
      <c r="F67" t="inlineStr"/>
      <c r="G67" t="inlineStr"/>
      <c r="H67" t="inlineStr"/>
    </row>
    <row r="68">
      <c r="A68" t="inlineStr">
        <is>
          <t>URGG-067</t>
        </is>
      </c>
      <c r="B68" t="inlineStr">
        <is>
          <t>CLORAZEPATO DIPOT. 5 mg cap</t>
        </is>
      </c>
      <c r="C68" t="n">
        <v>20</v>
      </c>
      <c r="D68" t="inlineStr"/>
      <c r="E68" t="n">
        <v>20</v>
      </c>
      <c r="F68" t="inlineStr"/>
      <c r="G68" t="inlineStr"/>
      <c r="H68" t="inlineStr"/>
    </row>
    <row r="69">
      <c r="A69" t="inlineStr">
        <is>
          <t>URGG-068</t>
        </is>
      </c>
      <c r="B69" t="inlineStr">
        <is>
          <t>CLORAZEPATO DIPOT. 50 mg comp</t>
        </is>
      </c>
      <c r="C69" t="n">
        <v>20</v>
      </c>
      <c r="D69" t="inlineStr"/>
      <c r="E69" t="n">
        <v>20</v>
      </c>
      <c r="F69" t="inlineStr"/>
      <c r="G69" t="inlineStr"/>
      <c r="H69" t="inlineStr"/>
    </row>
    <row r="70">
      <c r="A70" t="inlineStr">
        <is>
          <t>URGG-069</t>
        </is>
      </c>
      <c r="B70" t="inlineStr">
        <is>
          <t>CLORAZEPATO DIPOT. 50 mg iny(TRANXILIUM)</t>
        </is>
      </c>
      <c r="C70" t="n">
        <v>10</v>
      </c>
      <c r="D70" t="inlineStr"/>
      <c r="E70" t="n">
        <v>10</v>
      </c>
      <c r="F70" t="inlineStr"/>
      <c r="G70" t="inlineStr"/>
      <c r="H70" t="inlineStr"/>
    </row>
    <row r="71">
      <c r="A71" t="inlineStr">
        <is>
          <t>URGG-070</t>
        </is>
      </c>
      <c r="B71" t="inlineStr">
        <is>
          <t>clorproMAZINA 25 mg/5 ml amp.(LARGACTIL)</t>
        </is>
      </c>
      <c r="C71" t="n">
        <v>10</v>
      </c>
      <c r="D71" t="inlineStr"/>
      <c r="E71" t="n">
        <v>10</v>
      </c>
      <c r="F71" t="inlineStr"/>
      <c r="G71" t="inlineStr"/>
      <c r="H71" t="inlineStr"/>
    </row>
    <row r="72">
      <c r="A72" t="inlineStr">
        <is>
          <t>URGG-071</t>
        </is>
      </c>
      <c r="B72" t="inlineStr">
        <is>
          <t>CLORURO SODICO 20% 10 ml amp.</t>
        </is>
      </c>
      <c r="C72" t="n">
        <v>10</v>
      </c>
      <c r="D72" t="inlineStr"/>
      <c r="E72" t="n">
        <v>10</v>
      </c>
      <c r="F72" t="inlineStr"/>
      <c r="G72" t="inlineStr"/>
      <c r="H72" t="inlineStr"/>
    </row>
    <row r="73">
      <c r="A73" t="inlineStr">
        <is>
          <t>URGG-072</t>
        </is>
      </c>
      <c r="B73" t="inlineStr">
        <is>
          <t>CLORURO SODICO 5% colirio</t>
        </is>
      </c>
      <c r="C73" t="n">
        <v>5</v>
      </c>
      <c r="D73" t="inlineStr"/>
      <c r="E73" t="n">
        <v>5</v>
      </c>
      <c r="F73" t="inlineStr"/>
      <c r="G73" t="inlineStr"/>
      <c r="H73" t="inlineStr"/>
    </row>
    <row r="74">
      <c r="A74" t="inlineStr">
        <is>
          <t>URGG-073</t>
        </is>
      </c>
      <c r="B74" t="inlineStr">
        <is>
          <t>CLORURO SODICO 5% pda oftalm (ANTIEDEMA)</t>
        </is>
      </c>
      <c r="C74" t="n">
        <v>5</v>
      </c>
      <c r="D74" t="inlineStr"/>
      <c r="E74" t="n">
        <v>5</v>
      </c>
      <c r="F74" t="inlineStr"/>
      <c r="G74" t="inlineStr"/>
      <c r="H74" t="inlineStr"/>
    </row>
    <row r="75">
      <c r="A75" t="inlineStr">
        <is>
          <t>URGG-074</t>
        </is>
      </c>
      <c r="B75" t="inlineStr">
        <is>
          <t>CLOSPEPTRIDASA-NEOM pda.</t>
        </is>
      </c>
      <c r="C75" t="n">
        <v>5</v>
      </c>
      <c r="D75" t="inlineStr"/>
      <c r="E75" t="n">
        <v>5</v>
      </c>
      <c r="F75" t="inlineStr"/>
      <c r="G75" t="inlineStr"/>
      <c r="H75" t="inlineStr"/>
    </row>
    <row r="76">
      <c r="A76" t="inlineStr">
        <is>
          <t>URGG-075</t>
        </is>
      </c>
      <c r="B76" t="inlineStr">
        <is>
          <t>CLOXACILINA 500 mg cap(ORBENIN)</t>
        </is>
      </c>
      <c r="C76" t="n">
        <v>525</v>
      </c>
      <c r="D76" t="inlineStr"/>
      <c r="E76" t="n">
        <v>525</v>
      </c>
      <c r="F76" t="inlineStr"/>
      <c r="G76" t="inlineStr"/>
      <c r="H76" t="inlineStr"/>
    </row>
    <row r="77">
      <c r="A77" t="inlineStr">
        <is>
          <t>URGG-076</t>
        </is>
      </c>
      <c r="B77" t="inlineStr">
        <is>
          <t>Colir HIPROMELOSA monodosis</t>
        </is>
      </c>
      <c r="C77" t="n">
        <v>50</v>
      </c>
      <c r="D77" t="inlineStr"/>
      <c r="E77" t="n">
        <v>50</v>
      </c>
      <c r="F77" t="inlineStr"/>
      <c r="G77" t="inlineStr"/>
      <c r="H77" t="inlineStr"/>
    </row>
    <row r="78">
      <c r="A78" t="inlineStr">
        <is>
          <t>URGG-077</t>
        </is>
      </c>
      <c r="B78" t="inlineStr">
        <is>
          <t>Colir TOBRAMICINA 0,3%(COLIR TOBREX)</t>
        </is>
      </c>
      <c r="C78" t="n">
        <v>10</v>
      </c>
      <c r="D78" t="inlineStr"/>
      <c r="E78" t="n">
        <v>10</v>
      </c>
      <c r="F78" t="inlineStr"/>
      <c r="G78" t="inlineStr"/>
      <c r="H78" t="inlineStr"/>
    </row>
    <row r="79">
      <c r="A79" t="inlineStr">
        <is>
          <t>URGG-078</t>
        </is>
      </c>
      <c r="B79" t="inlineStr">
        <is>
          <t>coTRIMOXazol 800/160 mg comp.(SEPTRIM)</t>
        </is>
      </c>
      <c r="C79" t="n">
        <v>12</v>
      </c>
      <c r="D79" t="inlineStr"/>
      <c r="E79" t="n">
        <v>12</v>
      </c>
      <c r="F79" t="inlineStr"/>
      <c r="G79" t="inlineStr"/>
      <c r="H79" t="inlineStr"/>
    </row>
    <row r="80">
      <c r="A80" t="inlineStr">
        <is>
          <t>URGG-079</t>
        </is>
      </c>
      <c r="B80" t="inlineStr">
        <is>
          <t>C1-INACTIVADOR 500 UI vl</t>
        </is>
      </c>
      <c r="C80" t="n">
        <v>3</v>
      </c>
      <c r="D80" t="inlineStr"/>
      <c r="E80" t="n">
        <v>3</v>
      </c>
      <c r="F80" t="inlineStr"/>
      <c r="G80" t="inlineStr"/>
      <c r="H80" t="inlineStr"/>
    </row>
    <row r="81">
      <c r="A81" t="inlineStr">
        <is>
          <t>URGG-080</t>
        </is>
      </c>
      <c r="B81" t="inlineStr">
        <is>
          <t>DABIGATRAN 110 mg cap</t>
        </is>
      </c>
      <c r="C81" t="n">
        <v>30</v>
      </c>
      <c r="D81" t="inlineStr"/>
      <c r="E81" t="n">
        <v>30</v>
      </c>
      <c r="F81" t="inlineStr"/>
      <c r="G81" t="inlineStr"/>
      <c r="H81" t="inlineStr"/>
    </row>
    <row r="82">
      <c r="A82" t="inlineStr">
        <is>
          <t>URGG-081</t>
        </is>
      </c>
      <c r="B82" t="inlineStr">
        <is>
          <t>DABIGATRAN 150 mg cap</t>
        </is>
      </c>
      <c r="C82" t="n">
        <v>30</v>
      </c>
      <c r="D82" t="inlineStr"/>
      <c r="E82" t="n">
        <v>30</v>
      </c>
      <c r="F82" t="inlineStr"/>
      <c r="G82" t="inlineStr"/>
      <c r="H82" t="inlineStr"/>
    </row>
    <row r="83">
      <c r="A83" t="inlineStr">
        <is>
          <t>URGG-082</t>
        </is>
      </c>
      <c r="B83" t="inlineStr">
        <is>
          <t>DEXAmetasona 0,1% colirio(COLIR MAXIDEX)</t>
        </is>
      </c>
      <c r="C83" t="n">
        <v>10</v>
      </c>
      <c r="D83" t="inlineStr"/>
      <c r="E83" t="n">
        <v>10</v>
      </c>
      <c r="F83" t="inlineStr"/>
      <c r="G83" t="inlineStr"/>
      <c r="H83" t="inlineStr"/>
    </row>
    <row r="84">
      <c r="A84" t="inlineStr">
        <is>
          <t>URGG-083</t>
        </is>
      </c>
      <c r="B84" t="inlineStr">
        <is>
          <t>DEXAmetasona 4 mg iny.(FORTECORTIN)</t>
        </is>
      </c>
      <c r="C84" t="n">
        <v>14</v>
      </c>
      <c r="D84" t="inlineStr"/>
      <c r="E84" t="n">
        <v>14</v>
      </c>
      <c r="F84" t="inlineStr"/>
      <c r="G84" t="inlineStr"/>
      <c r="H84" t="inlineStr"/>
    </row>
    <row r="85">
      <c r="A85" t="inlineStr">
        <is>
          <t>URGG-084</t>
        </is>
      </c>
      <c r="B85" t="inlineStr">
        <is>
          <t>DEXAmetasona+GENTAMICINA colir</t>
        </is>
      </c>
      <c r="C85" t="n">
        <v>5</v>
      </c>
      <c r="D85" t="inlineStr"/>
      <c r="E85" t="n">
        <v>5</v>
      </c>
      <c r="F85" t="inlineStr"/>
      <c r="G85" t="inlineStr"/>
      <c r="H85" t="inlineStr"/>
    </row>
    <row r="86">
      <c r="A86" t="inlineStr">
        <is>
          <t>URGG-085</t>
        </is>
      </c>
      <c r="B86" t="inlineStr">
        <is>
          <t>DEXAmetasona+TOBRAMICINA colir</t>
        </is>
      </c>
      <c r="C86" t="n">
        <v>7</v>
      </c>
      <c r="D86" t="inlineStr"/>
      <c r="E86" t="n">
        <v>7</v>
      </c>
      <c r="F86" t="inlineStr"/>
      <c r="G86" t="inlineStr"/>
      <c r="H86" t="inlineStr"/>
    </row>
    <row r="87">
      <c r="A87" t="inlineStr">
        <is>
          <t>URGG-086</t>
        </is>
      </c>
      <c r="B87" t="inlineStr">
        <is>
          <t>DEXAM+POLIMIXINA+TRIMETR. gota otica</t>
        </is>
      </c>
      <c r="C87" t="n">
        <v>12</v>
      </c>
      <c r="D87" t="inlineStr"/>
      <c r="E87" t="n">
        <v>12</v>
      </c>
      <c r="F87" t="inlineStr"/>
      <c r="G87" t="inlineStr"/>
      <c r="H87" t="inlineStr"/>
    </row>
    <row r="88">
      <c r="A88" t="inlineStr">
        <is>
          <t>URGG-087</t>
        </is>
      </c>
      <c r="B88" t="inlineStr">
        <is>
          <t>DEXCLORFENIRAMINA 2 mg comp.(POLARAMINE)</t>
        </is>
      </c>
      <c r="C88" t="n">
        <v>135</v>
      </c>
      <c r="D88" t="inlineStr"/>
      <c r="E88" t="n">
        <v>135</v>
      </c>
      <c r="F88" t="inlineStr"/>
      <c r="G88" t="inlineStr"/>
      <c r="H88" t="inlineStr"/>
    </row>
    <row r="89">
      <c r="A89" t="inlineStr">
        <is>
          <t>URGG-088</t>
        </is>
      </c>
      <c r="B89" t="inlineStr">
        <is>
          <t>DEXCLORFENIRAMINA 5 mg amp.(POLARAMINE)</t>
        </is>
      </c>
      <c r="C89" t="n">
        <v>40</v>
      </c>
      <c r="D89" t="inlineStr"/>
      <c r="E89" t="n">
        <v>40</v>
      </c>
      <c r="F89" t="inlineStr"/>
      <c r="G89" t="inlineStr"/>
      <c r="H89" t="inlineStr"/>
    </row>
    <row r="90">
      <c r="A90" t="inlineStr">
        <is>
          <t>URGG-089</t>
        </is>
      </c>
      <c r="B90" t="inlineStr">
        <is>
          <t>DEXKETOPROFENO 25 mg comp(ENANTYUM)</t>
        </is>
      </c>
      <c r="C90" t="n">
        <v>50</v>
      </c>
      <c r="D90" t="inlineStr"/>
      <c r="E90" t="n">
        <v>50</v>
      </c>
      <c r="F90" t="inlineStr"/>
      <c r="G90" t="inlineStr"/>
      <c r="H90" t="inlineStr"/>
    </row>
    <row r="91">
      <c r="A91" t="inlineStr">
        <is>
          <t>URGG-090</t>
        </is>
      </c>
      <c r="B91" t="inlineStr">
        <is>
          <t>DEXKETOPROFENO 50 mg/2 ml amp(ENANTYUM)</t>
        </is>
      </c>
      <c r="C91" t="n">
        <v>50</v>
      </c>
      <c r="D91" t="inlineStr"/>
      <c r="E91" t="n">
        <v>50</v>
      </c>
      <c r="F91" t="inlineStr"/>
      <c r="G91" t="inlineStr"/>
      <c r="H91" t="inlineStr"/>
    </row>
    <row r="92">
      <c r="A92" t="inlineStr">
        <is>
          <t>URGG-091</t>
        </is>
      </c>
      <c r="B92" t="inlineStr">
        <is>
          <t>DIAZEPAM 10 mg comp(DIAZEPAM)</t>
        </is>
      </c>
      <c r="C92" t="n">
        <v>20</v>
      </c>
      <c r="D92" t="inlineStr"/>
      <c r="E92" t="n">
        <v>20</v>
      </c>
      <c r="F92" t="inlineStr"/>
      <c r="G92" t="inlineStr"/>
      <c r="H92" t="inlineStr"/>
    </row>
    <row r="93">
      <c r="A93" t="inlineStr">
        <is>
          <t>URGG-092</t>
        </is>
      </c>
      <c r="B93" t="inlineStr">
        <is>
          <t>DIAZEPAM 10 mg/2 ml amp(VALIUM)</t>
        </is>
      </c>
      <c r="C93" t="n">
        <v>10</v>
      </c>
      <c r="D93" t="inlineStr"/>
      <c r="E93" t="n">
        <v>10</v>
      </c>
      <c r="F93" t="inlineStr"/>
      <c r="G93" t="inlineStr"/>
      <c r="H93" t="inlineStr"/>
    </row>
    <row r="94">
      <c r="A94" t="inlineStr">
        <is>
          <t>URGG-093</t>
        </is>
      </c>
      <c r="B94" t="inlineStr">
        <is>
          <t>DIAZEPAM 5 mg comp(DIAZEPAM)</t>
        </is>
      </c>
      <c r="C94" t="n">
        <v>20</v>
      </c>
      <c r="D94" t="inlineStr"/>
      <c r="E94" t="n">
        <v>20</v>
      </c>
      <c r="F94" t="inlineStr"/>
      <c r="G94" t="inlineStr"/>
      <c r="H94" t="inlineStr"/>
    </row>
    <row r="95">
      <c r="A95" t="inlineStr">
        <is>
          <t>URGG-094</t>
        </is>
      </c>
      <c r="B95" t="inlineStr">
        <is>
          <t>DICLOFENACO 0,1% colirio(DICLOFENACO)</t>
        </is>
      </c>
      <c r="C95" t="n">
        <v>5</v>
      </c>
      <c r="D95" t="inlineStr"/>
      <c r="E95" t="n">
        <v>5</v>
      </c>
      <c r="F95" t="inlineStr"/>
      <c r="G95" t="inlineStr"/>
      <c r="H95" t="inlineStr"/>
    </row>
    <row r="96">
      <c r="A96" t="inlineStr">
        <is>
          <t>URGG-095</t>
        </is>
      </c>
      <c r="B96" t="inlineStr">
        <is>
          <t>DICLOFENACO 1% 60 g gel(VOLTAREN)</t>
        </is>
      </c>
      <c r="C96" t="n">
        <v>8</v>
      </c>
      <c r="D96" t="inlineStr"/>
      <c r="E96" t="n">
        <v>8</v>
      </c>
      <c r="F96" t="inlineStr"/>
      <c r="G96" t="inlineStr"/>
      <c r="H96" t="inlineStr"/>
    </row>
    <row r="97">
      <c r="A97" t="inlineStr">
        <is>
          <t>URGG-096</t>
        </is>
      </c>
      <c r="B97" t="inlineStr">
        <is>
          <t>DICLOFENACO 50 mg comp(DICLOFENACO)</t>
        </is>
      </c>
      <c r="C97" t="n">
        <v>1800</v>
      </c>
      <c r="D97" t="inlineStr"/>
      <c r="E97" t="n">
        <v>1800</v>
      </c>
      <c r="F97" t="inlineStr"/>
      <c r="G97" t="inlineStr"/>
      <c r="H97" t="inlineStr"/>
    </row>
    <row r="98">
      <c r="A98" t="inlineStr">
        <is>
          <t>URGG-097</t>
        </is>
      </c>
      <c r="B98" t="inlineStr">
        <is>
          <t>DICLOFENACO 75 mg amp.</t>
        </is>
      </c>
      <c r="C98" t="n">
        <v>150</v>
      </c>
      <c r="D98" t="inlineStr"/>
      <c r="E98" t="n">
        <v>150</v>
      </c>
      <c r="F98" t="inlineStr"/>
      <c r="G98" t="inlineStr"/>
      <c r="H98" t="inlineStr"/>
    </row>
    <row r="99">
      <c r="A99" t="inlineStr">
        <is>
          <t>URGG-098</t>
        </is>
      </c>
      <c r="B99" t="inlineStr">
        <is>
          <t>DIGOXINA 0,25 mg comp.(DIGOXINA)</t>
        </is>
      </c>
      <c r="C99" t="n">
        <v>7</v>
      </c>
      <c r="D99" t="inlineStr"/>
      <c r="E99" t="n">
        <v>7</v>
      </c>
      <c r="F99" t="inlineStr"/>
      <c r="G99" t="inlineStr"/>
      <c r="H99" t="inlineStr"/>
    </row>
    <row r="100">
      <c r="A100" t="inlineStr">
        <is>
          <t>URGG-099</t>
        </is>
      </c>
      <c r="B100" t="inlineStr">
        <is>
          <t>DIGOXINA 0,25 mg/ml amp.(DIGOXINA)</t>
        </is>
      </c>
      <c r="C100" t="n">
        <v>50</v>
      </c>
      <c r="D100" t="inlineStr"/>
      <c r="E100" t="n">
        <v>50</v>
      </c>
      <c r="F100" t="inlineStr"/>
      <c r="G100" t="inlineStr"/>
      <c r="H100" t="inlineStr"/>
    </row>
    <row r="101">
      <c r="A101" t="inlineStr">
        <is>
          <t>URGG-100</t>
        </is>
      </c>
      <c r="B101" t="inlineStr">
        <is>
          <t>dilTIAZem 25 mg iny.</t>
        </is>
      </c>
      <c r="C101" t="n">
        <v>10</v>
      </c>
      <c r="D101" t="inlineStr"/>
      <c r="E101" t="n">
        <v>10</v>
      </c>
      <c r="F101" t="inlineStr"/>
      <c r="G101" t="inlineStr"/>
      <c r="H101" t="inlineStr"/>
    </row>
    <row r="102">
      <c r="A102" t="inlineStr">
        <is>
          <t>URGG-101</t>
        </is>
      </c>
      <c r="B102" t="inlineStr">
        <is>
          <t>DOBUTamina 250 mg/20 ml amp.</t>
        </is>
      </c>
      <c r="C102" t="n">
        <v>5</v>
      </c>
      <c r="D102" t="inlineStr"/>
      <c r="E102" t="n">
        <v>5</v>
      </c>
      <c r="F102" t="inlineStr"/>
      <c r="G102" t="inlineStr"/>
      <c r="H102" t="inlineStr"/>
    </row>
    <row r="103">
      <c r="A103" t="inlineStr">
        <is>
          <t>URGG-102</t>
        </is>
      </c>
      <c r="B103" t="inlineStr">
        <is>
          <t>DOPamina 200 mg amp 5 ml(DOPAMINA)</t>
        </is>
      </c>
      <c r="C103" t="n">
        <v>4</v>
      </c>
      <c r="D103" t="inlineStr"/>
      <c r="E103" t="n">
        <v>4</v>
      </c>
      <c r="F103" t="inlineStr"/>
      <c r="G103" t="inlineStr"/>
      <c r="H103" t="inlineStr"/>
    </row>
    <row r="104">
      <c r="A104" t="inlineStr">
        <is>
          <t>URGG-103</t>
        </is>
      </c>
      <c r="B104" t="inlineStr">
        <is>
          <t>ENEMA SALINO 250 ml</t>
        </is>
      </c>
      <c r="C104" t="n">
        <v>35</v>
      </c>
      <c r="D104" t="inlineStr"/>
      <c r="E104" t="n">
        <v>35</v>
      </c>
      <c r="F104" t="inlineStr"/>
      <c r="G104" t="inlineStr"/>
      <c r="H104" t="inlineStr"/>
    </row>
    <row r="105">
      <c r="A105" t="inlineStr">
        <is>
          <t>URGG-104</t>
        </is>
      </c>
      <c r="B105" t="inlineStr">
        <is>
          <t>ENOXAPARINA 100 mg jer.(CLEXANE)</t>
        </is>
      </c>
      <c r="C105" t="n">
        <v>10</v>
      </c>
      <c r="D105" t="inlineStr"/>
      <c r="E105" t="n">
        <v>10</v>
      </c>
      <c r="F105" t="inlineStr"/>
      <c r="G105" t="inlineStr"/>
      <c r="H105" t="inlineStr"/>
    </row>
    <row r="106">
      <c r="A106" t="inlineStr">
        <is>
          <t>URGG-105</t>
        </is>
      </c>
      <c r="B106" t="inlineStr">
        <is>
          <t>ENOXAPARINA 40 mg jer.(CLEXANE)</t>
        </is>
      </c>
      <c r="C106" t="n">
        <v>10</v>
      </c>
      <c r="D106" t="inlineStr"/>
      <c r="E106" t="n">
        <v>10</v>
      </c>
      <c r="F106" t="inlineStr"/>
      <c r="G106" t="inlineStr"/>
      <c r="H106" t="inlineStr"/>
    </row>
    <row r="107">
      <c r="A107" t="inlineStr">
        <is>
          <t>URGG-106</t>
        </is>
      </c>
      <c r="B107" t="inlineStr">
        <is>
          <t>ENOXAPARINA 60 mg jer.(CLEXANE)</t>
        </is>
      </c>
      <c r="C107" t="n">
        <v>10</v>
      </c>
      <c r="D107" t="inlineStr"/>
      <c r="E107" t="n">
        <v>10</v>
      </c>
      <c r="F107" t="inlineStr"/>
      <c r="G107" t="inlineStr"/>
      <c r="H107" t="inlineStr"/>
    </row>
    <row r="108">
      <c r="A108" t="inlineStr">
        <is>
          <t>URGG-107</t>
        </is>
      </c>
      <c r="B108" t="inlineStr">
        <is>
          <t>ENOXAPARINA 80 mg jer.(CLEXANE)</t>
        </is>
      </c>
      <c r="C108" t="n">
        <v>5</v>
      </c>
      <c r="D108" t="inlineStr"/>
      <c r="E108" t="n">
        <v>5</v>
      </c>
      <c r="F108" t="inlineStr"/>
      <c r="G108" t="inlineStr"/>
      <c r="H108" t="inlineStr"/>
    </row>
    <row r="109">
      <c r="A109" t="inlineStr">
        <is>
          <t>URGG-108</t>
        </is>
      </c>
      <c r="B109" t="inlineStr">
        <is>
          <t>EPITELIZANTE 3 g (gentamicina/retinol/metionina) pda oftalmica</t>
        </is>
      </c>
      <c r="C109" t="n">
        <v>45</v>
      </c>
      <c r="D109" t="inlineStr"/>
      <c r="E109" t="n">
        <v>45</v>
      </c>
      <c r="F109" t="inlineStr"/>
      <c r="G109" t="inlineStr"/>
      <c r="H109" t="inlineStr"/>
    </row>
    <row r="110">
      <c r="A110" t="inlineStr">
        <is>
          <t>URGG-109</t>
        </is>
      </c>
      <c r="B110" t="inlineStr">
        <is>
          <t>ERITROMICINA 0,5% 3,5 g pda oftalmica</t>
        </is>
      </c>
      <c r="C110" t="n">
        <v>5</v>
      </c>
      <c r="D110" t="inlineStr"/>
      <c r="E110" t="n">
        <v>5</v>
      </c>
      <c r="F110" t="inlineStr"/>
      <c r="G110" t="inlineStr"/>
      <c r="H110" t="inlineStr"/>
    </row>
    <row r="111">
      <c r="A111" t="inlineStr">
        <is>
          <t>URGG-110</t>
        </is>
      </c>
      <c r="B111" t="inlineStr">
        <is>
          <t>ERITROMICINA 500 mg comp.(PANTOMICINA)</t>
        </is>
      </c>
      <c r="C111" t="n">
        <v>8</v>
      </c>
      <c r="D111" t="inlineStr"/>
      <c r="E111" t="n">
        <v>8</v>
      </c>
      <c r="F111" t="inlineStr"/>
      <c r="G111" t="inlineStr"/>
      <c r="H111" t="inlineStr"/>
    </row>
    <row r="112">
      <c r="A112" t="inlineStr">
        <is>
          <t>URGG-111</t>
        </is>
      </c>
      <c r="B112" t="inlineStr">
        <is>
          <t>ESMOLOL 100 mg/10 ml vl.(BREVIBLOC)</t>
        </is>
      </c>
      <c r="C112" t="n">
        <v>10</v>
      </c>
      <c r="D112" t="inlineStr"/>
      <c r="E112" t="n">
        <v>10</v>
      </c>
      <c r="F112" t="inlineStr"/>
      <c r="G112" t="inlineStr"/>
      <c r="H112" t="inlineStr"/>
    </row>
    <row r="113">
      <c r="A113" t="inlineStr">
        <is>
          <t>URGG-112</t>
        </is>
      </c>
      <c r="B113" t="inlineStr">
        <is>
          <t>FENILEFrina 1% vial 1 ml</t>
        </is>
      </c>
      <c r="C113" t="n">
        <v>10</v>
      </c>
      <c r="D113" t="inlineStr"/>
      <c r="E113" t="n">
        <v>10</v>
      </c>
      <c r="F113" t="inlineStr"/>
      <c r="G113" t="inlineStr"/>
      <c r="H113" t="inlineStr"/>
    </row>
    <row r="114">
      <c r="A114" t="inlineStr">
        <is>
          <t>URGG-113</t>
        </is>
      </c>
      <c r="B114" t="inlineStr">
        <is>
          <t>FENILEFRINA 500 mcg jer precg</t>
        </is>
      </c>
      <c r="C114" t="n">
        <v>10</v>
      </c>
      <c r="D114" t="inlineStr"/>
      <c r="E114" t="n">
        <v>10</v>
      </c>
      <c r="F114" t="inlineStr"/>
      <c r="G114" t="inlineStr"/>
      <c r="H114" t="inlineStr"/>
    </row>
    <row r="115">
      <c r="A115" t="inlineStr">
        <is>
          <t>URGG-114</t>
        </is>
      </c>
      <c r="B115" t="inlineStr">
        <is>
          <t>FENITOINA 250mg/5ml amp</t>
        </is>
      </c>
      <c r="C115" t="n">
        <v>10</v>
      </c>
      <c r="D115" t="inlineStr"/>
      <c r="E115" t="n">
        <v>10</v>
      </c>
      <c r="F115" t="inlineStr"/>
      <c r="G115" t="inlineStr"/>
      <c r="H115" t="inlineStr"/>
    </row>
    <row r="116">
      <c r="A116" t="inlineStr">
        <is>
          <t>URGG-115</t>
        </is>
      </c>
      <c r="B116" t="inlineStr">
        <is>
          <t>FEXOFENADINA 180 mg comp(TELFAST)</t>
        </is>
      </c>
      <c r="C116" t="n">
        <v>75</v>
      </c>
      <c r="D116" t="inlineStr"/>
      <c r="E116" t="n">
        <v>75</v>
      </c>
      <c r="F116" t="inlineStr"/>
      <c r="G116" t="inlineStr"/>
      <c r="H116" t="inlineStr"/>
    </row>
    <row r="117">
      <c r="A117" t="inlineStr">
        <is>
          <t>URGG-116</t>
        </is>
      </c>
      <c r="B117" t="inlineStr">
        <is>
          <t>FISIOLOGICO 10 ml amp.</t>
        </is>
      </c>
      <c r="C117" t="n">
        <v>20</v>
      </c>
      <c r="D117" t="inlineStr"/>
      <c r="E117" t="n">
        <v>20</v>
      </c>
      <c r="F117" t="inlineStr"/>
      <c r="G117" t="inlineStr"/>
      <c r="H117" t="inlineStr"/>
    </row>
    <row r="118">
      <c r="A118" t="inlineStr">
        <is>
          <t>URGG-117</t>
        </is>
      </c>
      <c r="B118" t="inlineStr">
        <is>
          <t>FLECAINIDA 100 mg comp.(APOCARD)</t>
        </is>
      </c>
      <c r="C118" t="n">
        <v>1</v>
      </c>
      <c r="D118" t="inlineStr"/>
      <c r="E118" t="n">
        <v>1</v>
      </c>
      <c r="F118" t="inlineStr"/>
      <c r="G118" t="inlineStr"/>
      <c r="H118" t="inlineStr"/>
    </row>
    <row r="119">
      <c r="A119" t="inlineStr">
        <is>
          <t>URGG-118</t>
        </is>
      </c>
      <c r="B119" t="inlineStr">
        <is>
          <t>FLECAINIDA 150 mg/15 ml amp.(APOCARD)</t>
        </is>
      </c>
      <c r="C119" t="n">
        <v>1</v>
      </c>
      <c r="D119" t="inlineStr"/>
      <c r="E119" t="n">
        <v>1</v>
      </c>
      <c r="F119" t="inlineStr"/>
      <c r="G119" t="inlineStr"/>
      <c r="H119" t="inlineStr"/>
    </row>
    <row r="120">
      <c r="A120" t="inlineStr">
        <is>
          <t>URGG-119</t>
        </is>
      </c>
      <c r="B120" t="inlineStr">
        <is>
          <t>FLUCONAZOL 100 mg/50 ml vl.(DIFLUCAN)</t>
        </is>
      </c>
      <c r="C120" t="n">
        <v>10</v>
      </c>
      <c r="D120" t="inlineStr"/>
      <c r="E120" t="n">
        <v>10</v>
      </c>
      <c r="F120" t="inlineStr"/>
      <c r="G120" t="inlineStr"/>
      <c r="H120" t="inlineStr"/>
    </row>
    <row r="121">
      <c r="A121" t="inlineStr">
        <is>
          <t>URGG-120</t>
        </is>
      </c>
      <c r="B121" t="inlineStr">
        <is>
          <t>FLUCONAZOL 200 mg/100 ml vl.(DIFLUCAN)</t>
        </is>
      </c>
      <c r="C121" t="n">
        <v>10</v>
      </c>
      <c r="D121" t="inlineStr"/>
      <c r="E121" t="n">
        <v>10</v>
      </c>
      <c r="F121" t="inlineStr"/>
      <c r="G121" t="inlineStr"/>
      <c r="H121" t="inlineStr"/>
    </row>
    <row r="122">
      <c r="A122" t="inlineStr">
        <is>
          <t>URGG-121</t>
        </is>
      </c>
      <c r="B122" t="inlineStr">
        <is>
          <t>FLUMAZENILO 0,5 mg/5 ml amp.</t>
        </is>
      </c>
      <c r="C122" t="n">
        <v>15</v>
      </c>
      <c r="D122" t="inlineStr"/>
      <c r="E122" t="n">
        <v>15</v>
      </c>
      <c r="F122" t="inlineStr"/>
      <c r="G122" t="inlineStr"/>
      <c r="H122" t="inlineStr"/>
    </row>
    <row r="123">
      <c r="A123" t="inlineStr">
        <is>
          <t>URGG-122</t>
        </is>
      </c>
      <c r="B123" t="inlineStr">
        <is>
          <t>FLUMAZENILO 1 mg/10 ml amp.</t>
        </is>
      </c>
      <c r="C123" t="n">
        <v>10</v>
      </c>
      <c r="D123" t="inlineStr"/>
      <c r="E123" t="n">
        <v>10</v>
      </c>
      <c r="F123" t="inlineStr"/>
      <c r="G123" t="inlineStr"/>
      <c r="H123" t="inlineStr"/>
    </row>
    <row r="124">
      <c r="A124" t="inlineStr">
        <is>
          <t>URGG-123</t>
        </is>
      </c>
      <c r="B124" t="inlineStr">
        <is>
          <t>FLUORESCEINA colirio(COLIR FLUORESCEINA)</t>
        </is>
      </c>
      <c r="C124" t="n">
        <v>10</v>
      </c>
      <c r="D124" t="inlineStr"/>
      <c r="E124" t="n">
        <v>10</v>
      </c>
      <c r="F124" t="inlineStr"/>
      <c r="G124" t="inlineStr"/>
      <c r="H124" t="inlineStr"/>
    </row>
    <row r="125">
      <c r="A125" t="inlineStr">
        <is>
          <t>URGG-124</t>
        </is>
      </c>
      <c r="B125" t="inlineStr">
        <is>
          <t>FLUTICASONA 250mcg/ihn</t>
        </is>
      </c>
      <c r="C125" t="n">
        <v>1</v>
      </c>
      <c r="D125" t="inlineStr"/>
      <c r="E125" t="n">
        <v>1</v>
      </c>
      <c r="F125" t="inlineStr"/>
      <c r="G125" t="inlineStr"/>
      <c r="H125" t="inlineStr"/>
    </row>
    <row r="126">
      <c r="A126" t="inlineStr">
        <is>
          <t>URGG-125</t>
        </is>
      </c>
      <c r="B126" t="inlineStr">
        <is>
          <t>FLUTICASONA/UMECLIDINIO/VILANTEROL 92/55/22 mcg inh</t>
        </is>
      </c>
      <c r="C126" t="n">
        <v>20</v>
      </c>
      <c r="D126" t="inlineStr"/>
      <c r="E126" t="n">
        <v>20</v>
      </c>
      <c r="F126" t="inlineStr"/>
      <c r="G126" t="inlineStr"/>
      <c r="H126" t="inlineStr"/>
    </row>
    <row r="127">
      <c r="A127" t="inlineStr">
        <is>
          <t>URGG-126</t>
        </is>
      </c>
      <c r="B127" t="inlineStr">
        <is>
          <t>FLUTICAS.250/SALMET.50 60(SERETIDE)</t>
        </is>
      </c>
      <c r="C127" t="n">
        <v>6</v>
      </c>
      <c r="D127" t="inlineStr"/>
      <c r="E127" t="n">
        <v>6</v>
      </c>
      <c r="F127" t="inlineStr"/>
      <c r="G127" t="inlineStr"/>
      <c r="H127" t="inlineStr"/>
    </row>
    <row r="128">
      <c r="A128" t="inlineStr">
        <is>
          <t>URGG-127</t>
        </is>
      </c>
      <c r="B128" t="inlineStr">
        <is>
          <t>FONDAPARINUX 2,5 mg jer precg</t>
        </is>
      </c>
      <c r="C128" t="n">
        <v>10</v>
      </c>
      <c r="D128" t="inlineStr"/>
      <c r="E128" t="n">
        <v>10</v>
      </c>
      <c r="F128" t="inlineStr"/>
      <c r="G128" t="inlineStr"/>
      <c r="H128" t="inlineStr"/>
    </row>
    <row r="129">
      <c r="A129" t="inlineStr">
        <is>
          <t>URGG-128</t>
        </is>
      </c>
      <c r="B129" t="inlineStr">
        <is>
          <t>FUROSEMIDA 20 mg/2 ml amp.(SEGURIL)</t>
        </is>
      </c>
      <c r="C129" t="n">
        <v>110</v>
      </c>
      <c r="D129" t="inlineStr"/>
      <c r="E129" t="n">
        <v>110</v>
      </c>
      <c r="F129" t="inlineStr"/>
      <c r="G129" t="inlineStr"/>
      <c r="H129" t="inlineStr"/>
    </row>
    <row r="130">
      <c r="A130" t="inlineStr">
        <is>
          <t>URGG-129</t>
        </is>
      </c>
      <c r="B130" t="inlineStr">
        <is>
          <t>FUROSEMIDA 250 mg/25 ml amp.(SEGURIL)</t>
        </is>
      </c>
      <c r="C130" t="n">
        <v>5</v>
      </c>
      <c r="D130" t="inlineStr"/>
      <c r="E130" t="n">
        <v>5</v>
      </c>
      <c r="F130" t="inlineStr"/>
      <c r="G130" t="inlineStr"/>
      <c r="H130" t="inlineStr"/>
    </row>
    <row r="131">
      <c r="A131" t="inlineStr">
        <is>
          <t>URGG-130</t>
        </is>
      </c>
      <c r="B131" t="inlineStr">
        <is>
          <t>FUROSEMIDA 40 mg comp.(SEGURIL)</t>
        </is>
      </c>
      <c r="C131" t="n">
        <v>120</v>
      </c>
      <c r="D131" t="inlineStr"/>
      <c r="E131" t="n">
        <v>120</v>
      </c>
      <c r="F131" t="inlineStr"/>
      <c r="G131" t="inlineStr"/>
      <c r="H131" t="inlineStr"/>
    </row>
    <row r="132">
      <c r="A132" t="inlineStr">
        <is>
          <t>URGG-131</t>
        </is>
      </c>
      <c r="B132" t="inlineStr">
        <is>
          <t>FUSIDICO + BETAMETASONA crema(FUCIBET)</t>
        </is>
      </c>
      <c r="C132" t="n">
        <v>4</v>
      </c>
      <c r="D132" t="inlineStr"/>
      <c r="E132" t="n">
        <v>4</v>
      </c>
      <c r="F132" t="inlineStr"/>
      <c r="G132" t="inlineStr"/>
      <c r="H132" t="inlineStr"/>
    </row>
    <row r="133">
      <c r="A133" t="inlineStr">
        <is>
          <t>URGG-132</t>
        </is>
      </c>
      <c r="B133" t="inlineStr">
        <is>
          <t>GELATINA + ELECTROLITOS 500 ml</t>
        </is>
      </c>
      <c r="C133" t="n">
        <v>5</v>
      </c>
      <c r="D133" t="inlineStr"/>
      <c r="E133" t="n">
        <v>5</v>
      </c>
      <c r="F133" t="inlineStr"/>
      <c r="G133" t="inlineStr"/>
      <c r="H133" t="inlineStr"/>
    </row>
    <row r="134">
      <c r="A134" t="inlineStr">
        <is>
          <t>URGG-133</t>
        </is>
      </c>
      <c r="B134" t="inlineStr">
        <is>
          <t>GENTAMICINA 0,3% 5g pda oftalmica</t>
        </is>
      </c>
      <c r="C134" t="n">
        <v>3</v>
      </c>
      <c r="D134" t="inlineStr"/>
      <c r="E134" t="n">
        <v>3</v>
      </c>
      <c r="F134" t="inlineStr"/>
      <c r="G134" t="inlineStr"/>
      <c r="H134" t="inlineStr"/>
    </row>
    <row r="135">
      <c r="A135" t="inlineStr">
        <is>
          <t>URGG-134</t>
        </is>
      </c>
      <c r="B135" t="inlineStr">
        <is>
          <t>GENTAMICINA 80 mg vl.(GENTA-GOBENS)</t>
        </is>
      </c>
      <c r="C135" t="n">
        <v>10</v>
      </c>
      <c r="D135" t="inlineStr"/>
      <c r="E135" t="n">
        <v>10</v>
      </c>
      <c r="F135" t="inlineStr"/>
      <c r="G135" t="inlineStr"/>
      <c r="H135" t="inlineStr"/>
    </row>
    <row r="136">
      <c r="A136" t="inlineStr">
        <is>
          <t>URGG-135</t>
        </is>
      </c>
      <c r="B136" t="inlineStr">
        <is>
          <t>GLUCAGON 1 mg jer.(GLUCAGON-Gen)</t>
        </is>
      </c>
      <c r="C136" t="n">
        <v>10</v>
      </c>
      <c r="D136" t="inlineStr"/>
      <c r="E136" t="n">
        <v>10</v>
      </c>
      <c r="F136" t="inlineStr"/>
      <c r="G136" t="inlineStr"/>
      <c r="H136" t="inlineStr"/>
    </row>
    <row r="137">
      <c r="A137" t="inlineStr">
        <is>
          <t>URGG-136</t>
        </is>
      </c>
      <c r="B137" t="inlineStr">
        <is>
          <t>GLUCOSA 50% 20 ml amp plast.</t>
        </is>
      </c>
      <c r="C137" t="n">
        <v>20</v>
      </c>
      <c r="D137" t="inlineStr"/>
      <c r="E137" t="n">
        <v>20</v>
      </c>
      <c r="F137" t="inlineStr"/>
      <c r="G137" t="inlineStr"/>
      <c r="H137" t="inlineStr"/>
    </row>
    <row r="138">
      <c r="A138" t="inlineStr">
        <is>
          <t>URGG-137</t>
        </is>
      </c>
      <c r="B138" t="inlineStr">
        <is>
          <t>HALOPERIDOL 10 mg comp.</t>
        </is>
      </c>
      <c r="C138" t="n">
        <v>20</v>
      </c>
      <c r="D138" t="inlineStr"/>
      <c r="E138" t="n">
        <v>20</v>
      </c>
      <c r="F138" t="inlineStr"/>
      <c r="G138" t="inlineStr"/>
      <c r="H138" t="inlineStr"/>
    </row>
    <row r="139">
      <c r="A139" t="inlineStr">
        <is>
          <t>URGG-138</t>
        </is>
      </c>
      <c r="B139" t="inlineStr">
        <is>
          <t>HALOPERIDOL 2 mg/ml gotas</t>
        </is>
      </c>
      <c r="C139" t="n">
        <v>20</v>
      </c>
      <c r="D139" t="inlineStr"/>
      <c r="E139" t="n">
        <v>20</v>
      </c>
      <c r="F139" t="inlineStr"/>
      <c r="G139" t="inlineStr"/>
      <c r="H139" t="inlineStr"/>
    </row>
    <row r="140">
      <c r="A140" t="inlineStr">
        <is>
          <t>URGG-139</t>
        </is>
      </c>
      <c r="B140" t="inlineStr">
        <is>
          <t>HALOPERIDOL 5 mg amp.</t>
        </is>
      </c>
      <c r="C140" t="n">
        <v>10</v>
      </c>
      <c r="D140" t="inlineStr"/>
      <c r="E140" t="n">
        <v>10</v>
      </c>
      <c r="F140" t="inlineStr"/>
      <c r="G140" t="inlineStr"/>
      <c r="H140" t="inlineStr"/>
    </row>
    <row r="141">
      <c r="A141" t="inlineStr">
        <is>
          <t>URGG-140</t>
        </is>
      </c>
      <c r="B141" t="inlineStr">
        <is>
          <t>HIDROCORTISONA 75 mg iny(ACTOCORTINA)</t>
        </is>
      </c>
      <c r="C141" t="n">
        <v>10</v>
      </c>
      <c r="D141" t="inlineStr"/>
      <c r="E141" t="n">
        <v>10</v>
      </c>
      <c r="F141" t="inlineStr"/>
      <c r="G141" t="inlineStr"/>
      <c r="H141" t="inlineStr"/>
    </row>
    <row r="142">
      <c r="A142" t="inlineStr">
        <is>
          <t>URGG-141</t>
        </is>
      </c>
      <c r="B142" t="inlineStr">
        <is>
          <t>INMUNOG. ANTITETANICA</t>
        </is>
      </c>
      <c r="C142" t="n">
        <v>5</v>
      </c>
      <c r="D142" t="inlineStr"/>
      <c r="E142" t="n">
        <v>5</v>
      </c>
      <c r="F142" t="inlineStr"/>
      <c r="G142" t="inlineStr"/>
      <c r="H142" t="inlineStr"/>
    </row>
    <row r="143">
      <c r="A143" t="inlineStr">
        <is>
          <t>URGG-142</t>
        </is>
      </c>
      <c r="B143" t="inlineStr">
        <is>
          <t>INSULINA RAPIDA 100 UI/ml vial(ACTRAPID)</t>
        </is>
      </c>
      <c r="C143" t="n">
        <v>5</v>
      </c>
      <c r="D143" t="inlineStr"/>
      <c r="E143" t="n">
        <v>5</v>
      </c>
      <c r="F143" t="inlineStr"/>
      <c r="G143" t="inlineStr"/>
      <c r="H143" t="inlineStr"/>
    </row>
    <row r="144">
      <c r="A144" t="inlineStr">
        <is>
          <t>URGG-143</t>
        </is>
      </c>
      <c r="B144" t="inlineStr">
        <is>
          <t>IPECACUANA jarabe 30ml (FM)</t>
        </is>
      </c>
      <c r="C144" t="n">
        <v>1</v>
      </c>
      <c r="D144" t="inlineStr"/>
      <c r="E144" t="n">
        <v>1</v>
      </c>
      <c r="F144" t="inlineStr"/>
      <c r="G144" t="inlineStr"/>
      <c r="H144" t="inlineStr"/>
    </row>
    <row r="145">
      <c r="A145" t="inlineStr">
        <is>
          <t>URGG-144</t>
        </is>
      </c>
      <c r="B145" t="inlineStr">
        <is>
          <t>IPRATROPIO 20. mcg/puls. inhala(ATROVENT)</t>
        </is>
      </c>
      <c r="C145" t="n">
        <v>10</v>
      </c>
      <c r="D145" t="inlineStr"/>
      <c r="E145" t="n">
        <v>10</v>
      </c>
      <c r="F145" t="inlineStr"/>
      <c r="G145" t="inlineStr"/>
      <c r="H145" t="inlineStr"/>
    </row>
    <row r="146">
      <c r="A146" t="inlineStr">
        <is>
          <t>URGG-145</t>
        </is>
      </c>
      <c r="B146" t="inlineStr">
        <is>
          <t>IPRATROPIO 250 mcg ud neb(ATROVENT)</t>
        </is>
      </c>
      <c r="C146" t="n">
        <v>70</v>
      </c>
      <c r="D146" t="inlineStr"/>
      <c r="E146" t="n">
        <v>70</v>
      </c>
      <c r="F146" t="inlineStr"/>
      <c r="G146" t="inlineStr"/>
      <c r="H146" t="inlineStr"/>
    </row>
    <row r="147">
      <c r="A147" t="inlineStr">
        <is>
          <t>URGG-146</t>
        </is>
      </c>
      <c r="B147" t="inlineStr">
        <is>
          <t>IPRATROPIO 500 mcg ud neb(IPATROPIO)</t>
        </is>
      </c>
      <c r="C147" t="n">
        <v>60</v>
      </c>
      <c r="D147" t="inlineStr"/>
      <c r="E147" t="n">
        <v>60</v>
      </c>
      <c r="F147" t="inlineStr"/>
      <c r="G147" t="inlineStr"/>
      <c r="H147" t="inlineStr"/>
    </row>
    <row r="148">
      <c r="A148" t="inlineStr">
        <is>
          <t>URGG-147</t>
        </is>
      </c>
      <c r="B148" t="inlineStr">
        <is>
          <t>ISOPREnalina 0,2 mg amp.</t>
        </is>
      </c>
      <c r="C148" t="n">
        <v>6</v>
      </c>
      <c r="D148" t="inlineStr"/>
      <c r="E148" t="n">
        <v>6</v>
      </c>
      <c r="F148" t="inlineStr"/>
      <c r="G148" t="inlineStr"/>
      <c r="H148" t="inlineStr"/>
    </row>
    <row r="149">
      <c r="A149" t="inlineStr">
        <is>
          <t>URGG-148</t>
        </is>
      </c>
      <c r="B149" t="inlineStr">
        <is>
          <t>KIT PROFILAXIS POST-EXPOSICION VIH</t>
        </is>
      </c>
      <c r="C149" t="n">
        <v>3</v>
      </c>
      <c r="D149" t="inlineStr"/>
      <c r="E149" t="n">
        <v>3</v>
      </c>
      <c r="F149" t="inlineStr"/>
      <c r="G149" t="inlineStr"/>
      <c r="H149" t="inlineStr"/>
    </row>
    <row r="150">
      <c r="A150" t="inlineStr">
        <is>
          <t>URGG-149</t>
        </is>
      </c>
      <c r="B150" t="inlineStr">
        <is>
          <t>LABETALOL 100 mg/20 ml amp.(TRANDATE)</t>
        </is>
      </c>
      <c r="C150" t="n">
        <v>10</v>
      </c>
      <c r="D150" t="inlineStr"/>
      <c r="E150" t="n">
        <v>10</v>
      </c>
      <c r="F150" t="inlineStr"/>
      <c r="G150" t="inlineStr"/>
      <c r="H150" t="inlineStr"/>
    </row>
    <row r="151">
      <c r="A151" t="inlineStr">
        <is>
          <t>URGG-150</t>
        </is>
      </c>
      <c r="B151" t="inlineStr">
        <is>
          <t>LACOSAMIDA 10 mg/ml 20ml iny</t>
        </is>
      </c>
      <c r="C151" t="n">
        <v>10</v>
      </c>
      <c r="D151" t="inlineStr"/>
      <c r="E151" t="n">
        <v>10</v>
      </c>
      <c r="F151" t="inlineStr"/>
      <c r="G151" t="inlineStr"/>
      <c r="H151" t="inlineStr"/>
    </row>
    <row r="152">
      <c r="A152" t="inlineStr">
        <is>
          <t>URGG-151</t>
        </is>
      </c>
      <c r="B152" t="inlineStr">
        <is>
          <t>LACTULOSA 10 g sobre</t>
        </is>
      </c>
      <c r="C152" t="n">
        <v>10</v>
      </c>
      <c r="D152" t="inlineStr"/>
      <c r="E152" t="n">
        <v>10</v>
      </c>
      <c r="F152" t="inlineStr"/>
      <c r="G152" t="inlineStr"/>
      <c r="H152" t="inlineStr"/>
    </row>
    <row r="153">
      <c r="A153" t="inlineStr">
        <is>
          <t>URGG-152</t>
        </is>
      </c>
      <c r="B153" t="inlineStr">
        <is>
          <t>levETIRAcetam IV 500 mg/5ml inyl(KEPRA)</t>
        </is>
      </c>
      <c r="C153" t="n">
        <v>5</v>
      </c>
      <c r="D153" t="inlineStr"/>
      <c r="E153" t="n">
        <v>5</v>
      </c>
      <c r="F153" t="inlineStr"/>
      <c r="G153" t="inlineStr"/>
      <c r="H153" t="inlineStr"/>
    </row>
    <row r="154">
      <c r="A154" t="inlineStr">
        <is>
          <t>URGG-153</t>
        </is>
      </c>
      <c r="B154" t="inlineStr">
        <is>
          <t>levETIRAcetam 1000 mg comp(KEPPRA)</t>
        </is>
      </c>
      <c r="C154" t="n">
        <v>5</v>
      </c>
      <c r="D154" t="inlineStr"/>
      <c r="E154" t="n">
        <v>5</v>
      </c>
      <c r="F154" t="inlineStr"/>
      <c r="G154" t="inlineStr"/>
      <c r="H154" t="inlineStr"/>
    </row>
    <row r="155">
      <c r="A155" t="inlineStr">
        <is>
          <t>URGG-154</t>
        </is>
      </c>
      <c r="B155" t="inlineStr">
        <is>
          <t>levoFLOXacino 500 mg/100 ml vl</t>
        </is>
      </c>
      <c r="C155" t="n">
        <v>10</v>
      </c>
      <c r="D155" t="inlineStr"/>
      <c r="E155" t="n">
        <v>10</v>
      </c>
      <c r="F155" t="inlineStr"/>
      <c r="G155" t="inlineStr"/>
      <c r="H155" t="inlineStr"/>
    </row>
    <row r="156">
      <c r="A156" t="inlineStr">
        <is>
          <t>URGG-155</t>
        </is>
      </c>
      <c r="B156" t="inlineStr">
        <is>
          <t>levoMEPROmazina 100 mg comp.(SINOGAN)</t>
        </is>
      </c>
      <c r="C156" t="n">
        <v>20</v>
      </c>
      <c r="D156" t="inlineStr"/>
      <c r="E156" t="n">
        <v>20</v>
      </c>
      <c r="F156" t="inlineStr"/>
      <c r="G156" t="inlineStr"/>
      <c r="H156" t="inlineStr"/>
    </row>
    <row r="157">
      <c r="A157" t="inlineStr">
        <is>
          <t>URGG-156</t>
        </is>
      </c>
      <c r="B157" t="inlineStr">
        <is>
          <t>levoMEPROmazina 25 mg amp(SINOGAN)</t>
        </is>
      </c>
      <c r="C157" t="n">
        <v>10</v>
      </c>
      <c r="D157" t="inlineStr"/>
      <c r="E157" t="n">
        <v>10</v>
      </c>
      <c r="F157" t="inlineStr"/>
      <c r="G157" t="inlineStr"/>
      <c r="H157" t="inlineStr"/>
    </row>
    <row r="158">
      <c r="A158" t="inlineStr">
        <is>
          <t>URGG-157</t>
        </is>
      </c>
      <c r="B158" t="inlineStr">
        <is>
          <t>levoMEPROmazina 25 mg comp.(SINOGAN)</t>
        </is>
      </c>
      <c r="C158" t="n">
        <v>20</v>
      </c>
      <c r="D158" t="inlineStr"/>
      <c r="E158" t="n">
        <v>20</v>
      </c>
      <c r="F158" t="inlineStr"/>
      <c r="G158" t="inlineStr"/>
      <c r="H158" t="inlineStr"/>
    </row>
    <row r="159">
      <c r="A159" t="inlineStr">
        <is>
          <t>URGG-158</t>
        </is>
      </c>
      <c r="B159" t="inlineStr">
        <is>
          <t>LIDOCAINA 10% spray topico (XILONIBSA)</t>
        </is>
      </c>
      <c r="C159" t="n">
        <v>4</v>
      </c>
      <c r="D159" t="inlineStr"/>
      <c r="E159" t="n">
        <v>4</v>
      </c>
      <c r="F159" t="inlineStr"/>
      <c r="G159" t="inlineStr"/>
      <c r="H159" t="inlineStr"/>
    </row>
    <row r="160">
      <c r="A160" t="inlineStr">
        <is>
          <t>URGG-159</t>
        </is>
      </c>
      <c r="B160" t="inlineStr">
        <is>
          <t>LIDOCAINA 5% 10ml amp</t>
        </is>
      </c>
      <c r="C160" t="n">
        <v>1</v>
      </c>
      <c r="D160" t="inlineStr"/>
      <c r="E160" t="n">
        <v>1</v>
      </c>
      <c r="F160" t="inlineStr"/>
      <c r="G160" t="inlineStr"/>
      <c r="H160" t="inlineStr"/>
    </row>
    <row r="161">
      <c r="A161" t="inlineStr">
        <is>
          <t>URGG-160</t>
        </is>
      </c>
      <c r="B161" t="inlineStr">
        <is>
          <t>LOPERAMIDA 2 mg caps.</t>
        </is>
      </c>
      <c r="C161" t="n">
        <v>100</v>
      </c>
      <c r="D161" t="inlineStr"/>
      <c r="E161" t="n">
        <v>100</v>
      </c>
      <c r="F161" t="inlineStr"/>
      <c r="G161" t="inlineStr"/>
      <c r="H161" t="inlineStr"/>
    </row>
    <row r="162">
      <c r="A162" t="inlineStr">
        <is>
          <t>URGG-161</t>
        </is>
      </c>
      <c r="B162" t="inlineStr">
        <is>
          <t>LORazepam 1 mg comp(LORAZEPAM)</t>
        </is>
      </c>
      <c r="C162" t="n">
        <v>20</v>
      </c>
      <c r="D162" t="inlineStr"/>
      <c r="E162" t="n">
        <v>20</v>
      </c>
      <c r="F162" t="inlineStr"/>
      <c r="G162" t="inlineStr"/>
      <c r="H162" t="inlineStr"/>
    </row>
    <row r="163">
      <c r="A163" t="inlineStr">
        <is>
          <t>URGG-162</t>
        </is>
      </c>
      <c r="B163" t="inlineStr">
        <is>
          <t>LORazepam 2 mg comp.</t>
        </is>
      </c>
      <c r="C163" t="n">
        <v>20</v>
      </c>
      <c r="D163" t="inlineStr"/>
      <c r="E163" t="n">
        <v>20</v>
      </c>
      <c r="F163" t="inlineStr"/>
      <c r="G163" t="inlineStr"/>
      <c r="H163" t="inlineStr"/>
    </row>
    <row r="164">
      <c r="A164" t="inlineStr">
        <is>
          <t>URGG-163</t>
        </is>
      </c>
      <c r="B164" t="inlineStr">
        <is>
          <t>LORazepam 5 mg comp(IDALPREM)</t>
        </is>
      </c>
      <c r="C164" t="n">
        <v>20</v>
      </c>
      <c r="D164" t="inlineStr"/>
      <c r="E164" t="n">
        <v>20</v>
      </c>
      <c r="F164" t="inlineStr"/>
      <c r="G164" t="inlineStr"/>
      <c r="H164" t="inlineStr"/>
    </row>
    <row r="165">
      <c r="A165" t="inlineStr">
        <is>
          <t>URGG-164</t>
        </is>
      </c>
      <c r="B165" t="inlineStr">
        <is>
          <t>LORMETAZEPAM 1 mg comp.(NOCTAMID)</t>
        </is>
      </c>
      <c r="C165" t="n">
        <v>3</v>
      </c>
      <c r="D165" t="inlineStr"/>
      <c r="E165" t="n">
        <v>3</v>
      </c>
      <c r="F165" t="inlineStr"/>
      <c r="G165" t="inlineStr"/>
      <c r="H165" t="inlineStr"/>
    </row>
    <row r="166">
      <c r="A166" t="inlineStr">
        <is>
          <t>URGG-165</t>
        </is>
      </c>
      <c r="B166" t="inlineStr">
        <is>
          <t>LORMETAZEPAM 2 mg comp.(NOCTAMID)</t>
        </is>
      </c>
      <c r="C166" t="n">
        <v>20</v>
      </c>
      <c r="D166" t="inlineStr"/>
      <c r="E166" t="n">
        <v>20</v>
      </c>
      <c r="F166" t="inlineStr"/>
      <c r="G166" t="inlineStr"/>
      <c r="H166" t="inlineStr"/>
    </row>
    <row r="167">
      <c r="A167" t="inlineStr">
        <is>
          <t>URGG-166</t>
        </is>
      </c>
      <c r="B167" t="inlineStr">
        <is>
          <t>MAGNESIO SULFATO 1,5 g amp 10 ml</t>
        </is>
      </c>
      <c r="C167" t="n">
        <v>10</v>
      </c>
      <c r="D167" t="inlineStr"/>
      <c r="E167" t="n">
        <v>10</v>
      </c>
      <c r="F167" t="inlineStr"/>
      <c r="G167" t="inlineStr"/>
      <c r="H167" t="inlineStr"/>
    </row>
    <row r="168">
      <c r="A168" t="inlineStr">
        <is>
          <t>URGG-167</t>
        </is>
      </c>
      <c r="B168" t="inlineStr">
        <is>
          <t>MEpivacaina 2% S/V 10 ml amp.</t>
        </is>
      </c>
      <c r="C168" t="n">
        <v>100</v>
      </c>
      <c r="D168" t="inlineStr"/>
      <c r="E168" t="n">
        <v>100</v>
      </c>
      <c r="F168" t="inlineStr"/>
      <c r="G168" t="inlineStr"/>
      <c r="H168" t="inlineStr"/>
    </row>
    <row r="169">
      <c r="A169" t="inlineStr">
        <is>
          <t>URGG-168</t>
        </is>
      </c>
      <c r="B169" t="inlineStr">
        <is>
          <t>MEpivacaina 2% S/V 2 ml amp.</t>
        </is>
      </c>
      <c r="C169" t="n">
        <v>50</v>
      </c>
      <c r="D169" t="inlineStr"/>
      <c r="E169" t="n">
        <v>50</v>
      </c>
      <c r="F169" t="inlineStr"/>
      <c r="G169" t="inlineStr"/>
      <c r="H169" t="inlineStr"/>
    </row>
    <row r="170">
      <c r="A170" t="inlineStr">
        <is>
          <t>URGG-169</t>
        </is>
      </c>
      <c r="B170" t="inlineStr">
        <is>
          <t>MESNA 600 mg/3ml amp aerosoles</t>
        </is>
      </c>
      <c r="C170" t="n">
        <v>12</v>
      </c>
      <c r="D170" t="inlineStr"/>
      <c r="E170" t="n">
        <v>12</v>
      </c>
      <c r="F170" t="inlineStr"/>
      <c r="G170" t="inlineStr"/>
      <c r="H170" t="inlineStr"/>
    </row>
    <row r="171">
      <c r="A171" t="inlineStr">
        <is>
          <t>URGG-170</t>
        </is>
      </c>
      <c r="B171" t="inlineStr">
        <is>
          <t>metAMIzol 2 g amp.(NOLOTIL)</t>
        </is>
      </c>
      <c r="C171" t="n">
        <v>225</v>
      </c>
      <c r="D171" t="inlineStr"/>
      <c r="E171" t="n">
        <v>225</v>
      </c>
      <c r="F171" t="inlineStr"/>
      <c r="G171" t="inlineStr"/>
      <c r="H171" t="inlineStr"/>
    </row>
    <row r="172">
      <c r="A172" t="inlineStr">
        <is>
          <t>URGG-171</t>
        </is>
      </c>
      <c r="B172" t="inlineStr">
        <is>
          <t>metAMIzol 575 mg cap.(METAMIZOL)</t>
        </is>
      </c>
      <c r="C172" t="n">
        <v>2600</v>
      </c>
      <c r="D172" t="inlineStr"/>
      <c r="E172" t="n">
        <v>2600</v>
      </c>
      <c r="F172" t="inlineStr"/>
      <c r="G172" t="inlineStr"/>
      <c r="H172" t="inlineStr"/>
    </row>
    <row r="173">
      <c r="A173" t="inlineStr">
        <is>
          <t>URGG-172</t>
        </is>
      </c>
      <c r="B173" t="inlineStr">
        <is>
          <t>metAMIzol+ANTIESPASMODICOS amp</t>
        </is>
      </c>
      <c r="C173" t="n">
        <v>25</v>
      </c>
      <c r="D173" t="inlineStr"/>
      <c r="E173" t="n">
        <v>25</v>
      </c>
      <c r="F173" t="inlineStr"/>
      <c r="G173" t="inlineStr"/>
      <c r="H173" t="inlineStr"/>
    </row>
    <row r="174">
      <c r="A174" t="inlineStr">
        <is>
          <t>URGG-173</t>
        </is>
      </c>
      <c r="B174" t="inlineStr">
        <is>
          <t>metAMIzol+ANTIESPASMODICOS gg</t>
        </is>
      </c>
      <c r="C174" t="n">
        <v>25</v>
      </c>
      <c r="D174" t="inlineStr"/>
      <c r="E174" t="n">
        <v>25</v>
      </c>
      <c r="F174" t="inlineStr"/>
      <c r="G174" t="inlineStr"/>
      <c r="H174" t="inlineStr"/>
    </row>
    <row r="175">
      <c r="A175" t="inlineStr">
        <is>
          <t>URGG-174</t>
        </is>
      </c>
      <c r="B175" t="inlineStr">
        <is>
          <t>METILPREDNISOLONA 125 mg iny</t>
        </is>
      </c>
      <c r="C175" t="n">
        <v>30</v>
      </c>
      <c r="D175" t="inlineStr"/>
      <c r="E175" t="n">
        <v>30</v>
      </c>
      <c r="F175" t="inlineStr"/>
      <c r="G175" t="inlineStr"/>
      <c r="H175" t="inlineStr"/>
    </row>
    <row r="176">
      <c r="A176" t="inlineStr">
        <is>
          <t>URGG-175</t>
        </is>
      </c>
      <c r="B176" t="inlineStr">
        <is>
          <t>METILPREDNISOLONA 20 mg iny(URBASON)</t>
        </is>
      </c>
      <c r="C176" t="n">
        <v>20</v>
      </c>
      <c r="D176" t="inlineStr"/>
      <c r="E176" t="n">
        <v>20</v>
      </c>
      <c r="F176" t="inlineStr"/>
      <c r="G176" t="inlineStr"/>
      <c r="H176" t="inlineStr"/>
    </row>
    <row r="177">
      <c r="A177" t="inlineStr">
        <is>
          <t>URGG-176</t>
        </is>
      </c>
      <c r="B177" t="inlineStr">
        <is>
          <t>METILPREDNISOLONA 40 mg iny(URBASON)</t>
        </is>
      </c>
      <c r="C177" t="n">
        <v>90</v>
      </c>
      <c r="D177" t="inlineStr"/>
      <c r="E177" t="n">
        <v>90</v>
      </c>
      <c r="F177" t="inlineStr"/>
      <c r="G177" t="inlineStr"/>
      <c r="H177" t="inlineStr"/>
    </row>
    <row r="178">
      <c r="A178" t="inlineStr">
        <is>
          <t>URGG-177</t>
        </is>
      </c>
      <c r="B178" t="inlineStr">
        <is>
          <t>METILPREDNISOLONA 500 mg iny</t>
        </is>
      </c>
      <c r="C178" t="n">
        <v>4</v>
      </c>
      <c r="D178" t="inlineStr"/>
      <c r="E178" t="n">
        <v>4</v>
      </c>
      <c r="F178" t="inlineStr"/>
      <c r="G178" t="inlineStr"/>
      <c r="H178" t="inlineStr"/>
    </row>
    <row r="179">
      <c r="A179" t="inlineStr">
        <is>
          <t>URGG-178</t>
        </is>
      </c>
      <c r="B179" t="inlineStr">
        <is>
          <t>METOCLOPRAMIDA 10 mg amp.(PRIMPERAN)</t>
        </is>
      </c>
      <c r="C179" t="n">
        <v>140</v>
      </c>
      <c r="D179" t="inlineStr"/>
      <c r="E179" t="n">
        <v>140</v>
      </c>
      <c r="F179" t="inlineStr"/>
      <c r="G179" t="inlineStr"/>
      <c r="H179" t="inlineStr"/>
    </row>
    <row r="180">
      <c r="A180" t="inlineStr">
        <is>
          <t>URGG-179</t>
        </is>
      </c>
      <c r="B180" t="inlineStr">
        <is>
          <t>metroNIDAZOL 500 mg vl.</t>
        </is>
      </c>
      <c r="C180" t="n">
        <v>10</v>
      </c>
      <c r="D180" t="inlineStr"/>
      <c r="E180" t="n">
        <v>10</v>
      </c>
      <c r="F180" t="inlineStr"/>
      <c r="G180" t="inlineStr"/>
      <c r="H180" t="inlineStr"/>
    </row>
    <row r="181">
      <c r="A181" t="inlineStr">
        <is>
          <t>URGG-180</t>
        </is>
      </c>
      <c r="B181" t="inlineStr">
        <is>
          <t>MIDAZOLAM 15 mg/3 ml amp</t>
        </is>
      </c>
      <c r="C181" t="n">
        <v>10</v>
      </c>
      <c r="D181" t="inlineStr"/>
      <c r="E181" t="n">
        <v>10</v>
      </c>
      <c r="F181" t="inlineStr"/>
      <c r="G181" t="inlineStr"/>
      <c r="H181" t="inlineStr"/>
    </row>
    <row r="182">
      <c r="A182" t="inlineStr">
        <is>
          <t>URGG-181</t>
        </is>
      </c>
      <c r="B182" t="inlineStr">
        <is>
          <t>MIDAZOLAM 5 mg/5 ml amp</t>
        </is>
      </c>
      <c r="C182" t="n">
        <v>2</v>
      </c>
      <c r="D182" t="inlineStr"/>
      <c r="E182" t="n">
        <v>2</v>
      </c>
      <c r="F182" t="inlineStr"/>
      <c r="G182" t="inlineStr"/>
      <c r="H182" t="inlineStr"/>
    </row>
    <row r="183">
      <c r="A183" t="inlineStr">
        <is>
          <t>URGG-182</t>
        </is>
      </c>
      <c r="B183" t="inlineStr">
        <is>
          <t>MIDAZOLAM 50 mg/ 10ml amp</t>
        </is>
      </c>
      <c r="C183" t="n">
        <v>10</v>
      </c>
      <c r="D183" t="inlineStr"/>
      <c r="E183" t="n">
        <v>10</v>
      </c>
      <c r="F183" t="inlineStr"/>
      <c r="G183" t="inlineStr"/>
      <c r="H183" t="inlineStr"/>
    </row>
    <row r="184">
      <c r="A184" t="inlineStr">
        <is>
          <t>URGG-183</t>
        </is>
      </c>
      <c r="B184" t="inlineStr">
        <is>
          <t>MUPIROCINA 2% pomada(BACTROBAN)</t>
        </is>
      </c>
      <c r="C184" t="n">
        <v>10</v>
      </c>
      <c r="D184" t="inlineStr"/>
      <c r="E184" t="n">
        <v>10</v>
      </c>
      <c r="F184" t="inlineStr"/>
      <c r="G184" t="inlineStr"/>
      <c r="H184" t="inlineStr"/>
    </row>
    <row r="185">
      <c r="A185" t="inlineStr">
        <is>
          <t>URGG-184</t>
        </is>
      </c>
      <c r="B185" t="inlineStr">
        <is>
          <t>NALOXONA 0,4 mg amp.(NALOXONE)</t>
        </is>
      </c>
      <c r="C185" t="n">
        <v>5</v>
      </c>
      <c r="D185" t="inlineStr"/>
      <c r="E185" t="n">
        <v>5</v>
      </c>
      <c r="F185" t="inlineStr"/>
      <c r="G185" t="inlineStr"/>
      <c r="H185" t="inlineStr"/>
    </row>
    <row r="186">
      <c r="A186" t="inlineStr">
        <is>
          <t>URGG-185</t>
        </is>
      </c>
      <c r="B186" t="inlineStr">
        <is>
          <t>NAPROXENO 500 mg comp</t>
        </is>
      </c>
      <c r="C186" t="n">
        <v>1400</v>
      </c>
      <c r="D186" t="inlineStr"/>
      <c r="E186" t="n">
        <v>1400</v>
      </c>
      <c r="F186" t="inlineStr"/>
      <c r="G186" t="inlineStr"/>
      <c r="H186" t="inlineStr"/>
    </row>
    <row r="187">
      <c r="A187" t="inlineStr">
        <is>
          <t>URGG-186</t>
        </is>
      </c>
      <c r="B187" t="inlineStr">
        <is>
          <t>NIFEdipino 10 mg cap(ADALAT)</t>
        </is>
      </c>
      <c r="C187" t="n">
        <v>10</v>
      </c>
      <c r="D187" t="inlineStr"/>
      <c r="E187" t="n">
        <v>10</v>
      </c>
      <c r="F187" t="inlineStr"/>
      <c r="G187" t="inlineStr"/>
      <c r="H187" t="inlineStr"/>
    </row>
    <row r="188">
      <c r="A188" t="inlineStr">
        <is>
          <t>URGG-187</t>
        </is>
      </c>
      <c r="B188" t="inlineStr">
        <is>
          <t>niMODipino 10 mg/50 ml vl.(NIMODIPINO)</t>
        </is>
      </c>
      <c r="C188" t="n">
        <v>2</v>
      </c>
      <c r="D188" t="inlineStr"/>
      <c r="E188" t="n">
        <v>2</v>
      </c>
      <c r="F188" t="inlineStr"/>
      <c r="G188" t="inlineStr"/>
      <c r="H188" t="inlineStr"/>
    </row>
    <row r="189">
      <c r="A189" t="inlineStr">
        <is>
          <t>URGG-188</t>
        </is>
      </c>
      <c r="B189" t="inlineStr">
        <is>
          <t>NITRATO DE PLATA 50 mg varill(ARGENPAL)</t>
        </is>
      </c>
      <c r="C189" t="n">
        <v>10</v>
      </c>
      <c r="D189" t="inlineStr"/>
      <c r="E189" t="n">
        <v>10</v>
      </c>
      <c r="F189" t="inlineStr"/>
      <c r="G189" t="inlineStr"/>
      <c r="H189" t="inlineStr"/>
    </row>
    <row r="190">
      <c r="A190" t="inlineStr">
        <is>
          <t>URGG-189</t>
        </is>
      </c>
      <c r="B190" t="inlineStr">
        <is>
          <t>NITROFURAL 0,2% 100 ml sol.(FURACIN)</t>
        </is>
      </c>
      <c r="C190" t="n">
        <v>10</v>
      </c>
      <c r="D190" t="inlineStr"/>
      <c r="E190" t="n">
        <v>10</v>
      </c>
      <c r="F190" t="inlineStr"/>
      <c r="G190" t="inlineStr"/>
      <c r="H190" t="inlineStr"/>
    </row>
    <row r="191">
      <c r="A191" t="inlineStr">
        <is>
          <t>URGG-190</t>
        </is>
      </c>
      <c r="B191" t="inlineStr">
        <is>
          <t>NITROFURAL 100 g pda.(FURACIN)</t>
        </is>
      </c>
      <c r="C191" t="n">
        <v>10</v>
      </c>
      <c r="D191" t="inlineStr"/>
      <c r="E191" t="n">
        <v>10</v>
      </c>
      <c r="F191" t="inlineStr"/>
      <c r="G191" t="inlineStr"/>
      <c r="H191" t="inlineStr"/>
    </row>
    <row r="192">
      <c r="A192" t="inlineStr">
        <is>
          <t>URGG-191</t>
        </is>
      </c>
      <c r="B192" t="inlineStr">
        <is>
          <t>NiTROGLICERina sublingual (CAFINITRINA)</t>
        </is>
      </c>
      <c r="C192" t="n">
        <v>80</v>
      </c>
      <c r="D192" t="inlineStr"/>
      <c r="E192" t="n">
        <v>80</v>
      </c>
      <c r="F192" t="inlineStr"/>
      <c r="G192" t="inlineStr"/>
      <c r="H192" t="inlineStr"/>
    </row>
    <row r="193">
      <c r="A193" t="inlineStr">
        <is>
          <t>URGG-192</t>
        </is>
      </c>
      <c r="B193" t="inlineStr">
        <is>
          <t>NiTROGLICERina 50 mg/10 ml amp</t>
        </is>
      </c>
      <c r="C193" t="n">
        <v>10</v>
      </c>
      <c r="D193" t="inlineStr"/>
      <c r="E193" t="n">
        <v>10</v>
      </c>
      <c r="F193" t="inlineStr"/>
      <c r="G193" t="inlineStr"/>
      <c r="H193" t="inlineStr"/>
    </row>
    <row r="194">
      <c r="A194" t="inlineStr">
        <is>
          <t>URGG-193</t>
        </is>
      </c>
      <c r="B194" t="inlineStr">
        <is>
          <t>NORADRENALINA 0,5 mg/ml 10 ml amp.</t>
        </is>
      </c>
      <c r="C194" t="n">
        <v>10</v>
      </c>
      <c r="D194" t="inlineStr"/>
      <c r="E194" t="n">
        <v>10</v>
      </c>
      <c r="F194" t="inlineStr"/>
      <c r="G194" t="inlineStr"/>
      <c r="H194" t="inlineStr"/>
    </row>
    <row r="195">
      <c r="A195" t="inlineStr">
        <is>
          <t>URGG-194</t>
        </is>
      </c>
      <c r="B195" t="inlineStr">
        <is>
          <t>NORFLOXACINO 400 mg comp.(NORFLOXACINO)</t>
        </is>
      </c>
      <c r="C195" t="n">
        <v>12</v>
      </c>
      <c r="D195" t="inlineStr"/>
      <c r="E195" t="n">
        <v>12</v>
      </c>
      <c r="F195" t="inlineStr"/>
      <c r="G195" t="inlineStr"/>
      <c r="H195" t="inlineStr"/>
    </row>
    <row r="196">
      <c r="A196" t="inlineStr">
        <is>
          <t>URGG-195</t>
        </is>
      </c>
      <c r="B196" t="inlineStr">
        <is>
          <t>OLANZapina 10 mg comp bucodisp</t>
        </is>
      </c>
      <c r="C196" t="n">
        <v>20</v>
      </c>
      <c r="D196" t="inlineStr"/>
      <c r="E196" t="n">
        <v>20</v>
      </c>
      <c r="F196" t="inlineStr"/>
      <c r="G196" t="inlineStr"/>
      <c r="H196" t="inlineStr"/>
    </row>
    <row r="197">
      <c r="A197" t="inlineStr">
        <is>
          <t>URGG-196</t>
        </is>
      </c>
      <c r="B197" t="inlineStr">
        <is>
          <t>OLANZapina 10 mg 2 ml vl</t>
        </is>
      </c>
      <c r="C197" t="n">
        <v>10</v>
      </c>
      <c r="D197" t="inlineStr"/>
      <c r="E197" t="n">
        <v>10</v>
      </c>
      <c r="F197" t="inlineStr"/>
      <c r="G197" t="inlineStr"/>
      <c r="H197" t="inlineStr"/>
    </row>
    <row r="198">
      <c r="A198" t="inlineStr">
        <is>
          <t>URGG-197</t>
        </is>
      </c>
      <c r="B198" t="inlineStr">
        <is>
          <t>OLANZapina 5 mg comp bucodisp</t>
        </is>
      </c>
      <c r="C198" t="n">
        <v>20</v>
      </c>
      <c r="D198" t="inlineStr"/>
      <c r="E198" t="n">
        <v>20</v>
      </c>
      <c r="F198" t="inlineStr"/>
      <c r="G198" t="inlineStr"/>
      <c r="H198" t="inlineStr"/>
    </row>
    <row r="199">
      <c r="A199" t="inlineStr">
        <is>
          <t>URGG-198</t>
        </is>
      </c>
      <c r="B199" t="inlineStr">
        <is>
          <t>OMEPRAZOL 20 mg cap.(CEPRANDAL)</t>
        </is>
      </c>
      <c r="C199" t="n">
        <v>1760</v>
      </c>
      <c r="D199" t="inlineStr"/>
      <c r="E199" t="n">
        <v>1760</v>
      </c>
      <c r="F199" t="inlineStr"/>
      <c r="G199" t="inlineStr"/>
      <c r="H199" t="inlineStr"/>
    </row>
    <row r="200">
      <c r="A200" t="inlineStr">
        <is>
          <t>URGG-199</t>
        </is>
      </c>
      <c r="B200" t="inlineStr">
        <is>
          <t>ONDANSETRON 4 mg amp.(YATROX)</t>
        </is>
      </c>
      <c r="C200" t="n">
        <v>30</v>
      </c>
      <c r="D200" t="inlineStr"/>
      <c r="E200" t="n">
        <v>30</v>
      </c>
      <c r="F200" t="inlineStr"/>
      <c r="G200" t="inlineStr"/>
      <c r="H200" t="inlineStr"/>
    </row>
    <row r="201">
      <c r="A201" t="inlineStr">
        <is>
          <t>URGG-200</t>
        </is>
      </c>
      <c r="B201" t="inlineStr">
        <is>
          <t>ONDANSETRON 8 mg amp.(YATROX)</t>
        </is>
      </c>
      <c r="C201" t="n">
        <v>10</v>
      </c>
      <c r="D201" t="inlineStr"/>
      <c r="E201" t="n">
        <v>10</v>
      </c>
      <c r="F201" t="inlineStr"/>
      <c r="G201" t="inlineStr"/>
      <c r="H201" t="inlineStr"/>
    </row>
    <row r="202">
      <c r="A202" t="inlineStr">
        <is>
          <t>URGG-201</t>
        </is>
      </c>
      <c r="B202" t="inlineStr">
        <is>
          <t>OXIBUPROCAÍNA+TETRACAINA 4/1mg col.</t>
        </is>
      </c>
      <c r="C202" t="n">
        <v>5</v>
      </c>
      <c r="D202" t="inlineStr"/>
      <c r="E202" t="n">
        <v>5</v>
      </c>
      <c r="F202" t="inlineStr"/>
      <c r="G202" t="inlineStr"/>
      <c r="H202" t="inlineStr"/>
    </row>
    <row r="203">
      <c r="A203" t="inlineStr">
        <is>
          <t>URGG-202</t>
        </is>
      </c>
      <c r="B203" t="inlineStr">
        <is>
          <t>PANTOPRAZOL 40 mg iny(ANAGASTRA)</t>
        </is>
      </c>
      <c r="C203" t="n">
        <v>50</v>
      </c>
      <c r="D203" t="inlineStr"/>
      <c r="E203" t="n">
        <v>50</v>
      </c>
      <c r="F203" t="inlineStr"/>
      <c r="G203" t="inlineStr"/>
      <c r="H203" t="inlineStr"/>
    </row>
    <row r="204">
      <c r="A204" t="inlineStr">
        <is>
          <t>URGG-203</t>
        </is>
      </c>
      <c r="B204" t="inlineStr">
        <is>
          <t>PARACETAMOL 1 g IV</t>
        </is>
      </c>
      <c r="C204" t="n">
        <v>70</v>
      </c>
      <c r="D204" t="inlineStr"/>
      <c r="E204" t="n">
        <v>70</v>
      </c>
      <c r="F204" t="inlineStr"/>
      <c r="G204" t="inlineStr"/>
      <c r="H204" t="inlineStr"/>
    </row>
    <row r="205">
      <c r="A205" t="inlineStr">
        <is>
          <t>URGG-204</t>
        </is>
      </c>
      <c r="B205" t="inlineStr">
        <is>
          <t>PARACETAMOL 500 mg comp(TERMALGIN)</t>
        </is>
      </c>
      <c r="C205" t="n">
        <v>750</v>
      </c>
      <c r="D205" t="inlineStr"/>
      <c r="E205" t="n">
        <v>750</v>
      </c>
      <c r="F205" t="inlineStr"/>
      <c r="G205" t="inlineStr"/>
      <c r="H205" t="inlineStr"/>
    </row>
    <row r="206">
      <c r="A206" t="inlineStr">
        <is>
          <t>URGG-205</t>
        </is>
      </c>
      <c r="B206" t="inlineStr">
        <is>
          <t>PARACETAMOL 650 mg comp.(GELOCATIL)</t>
        </is>
      </c>
      <c r="C206" t="n">
        <v>1360</v>
      </c>
      <c r="D206" t="inlineStr"/>
      <c r="E206" t="n">
        <v>1360</v>
      </c>
      <c r="F206" t="inlineStr"/>
      <c r="G206" t="inlineStr"/>
      <c r="H206" t="inlineStr"/>
    </row>
    <row r="207">
      <c r="A207" t="inlineStr">
        <is>
          <t>URGG-206</t>
        </is>
      </c>
      <c r="B207" t="inlineStr">
        <is>
          <t>PENTOXIFILINA 300 mg/15 ml amp(HEMOVAS)</t>
        </is>
      </c>
      <c r="C207" t="n">
        <v>10</v>
      </c>
      <c r="D207" t="inlineStr"/>
      <c r="E207" t="n">
        <v>10</v>
      </c>
      <c r="F207" t="inlineStr"/>
      <c r="G207" t="inlineStr"/>
      <c r="H207" t="inlineStr"/>
    </row>
    <row r="208">
      <c r="A208" t="inlineStr">
        <is>
          <t>URGG-207</t>
        </is>
      </c>
      <c r="B208" t="inlineStr">
        <is>
          <t>PIPERAC/TAZOB. 4 g/0,5g IV vl</t>
        </is>
      </c>
      <c r="C208" t="n">
        <v>20</v>
      </c>
      <c r="D208" t="inlineStr"/>
      <c r="E208" t="n">
        <v>20</v>
      </c>
      <c r="F208" t="inlineStr"/>
      <c r="G208" t="inlineStr"/>
      <c r="H208" t="inlineStr"/>
    </row>
    <row r="209">
      <c r="A209" t="inlineStr">
        <is>
          <t>URGG-208</t>
        </is>
      </c>
      <c r="B209" t="inlineStr">
        <is>
          <t>PIRIDOXINA 300 mg amp.(BENADON)</t>
        </is>
      </c>
      <c r="C209" t="n">
        <v>45</v>
      </c>
      <c r="D209" t="inlineStr"/>
      <c r="E209" t="n">
        <v>45</v>
      </c>
      <c r="F209" t="inlineStr"/>
      <c r="G209" t="inlineStr"/>
      <c r="H209" t="inlineStr"/>
    </row>
    <row r="210">
      <c r="A210" t="inlineStr">
        <is>
          <t>URGG-209</t>
        </is>
      </c>
      <c r="B210" t="inlineStr">
        <is>
          <t>POTASIO CLORUR 20 meq/10 ml vl</t>
        </is>
      </c>
      <c r="C210" t="n">
        <v>2</v>
      </c>
      <c r="D210" t="inlineStr"/>
      <c r="E210" t="n">
        <v>2</v>
      </c>
      <c r="F210" t="inlineStr"/>
      <c r="G210" t="inlineStr"/>
      <c r="H210" t="inlineStr"/>
    </row>
    <row r="211">
      <c r="A211" t="inlineStr">
        <is>
          <t>URGG-210</t>
        </is>
      </c>
      <c r="B211" t="inlineStr">
        <is>
          <t>POVIDONA IODADA 10% 500 ml(BETADINE)</t>
        </is>
      </c>
      <c r="C211" t="n">
        <v>5</v>
      </c>
      <c r="D211" t="inlineStr"/>
      <c r="E211" t="n">
        <v>5</v>
      </c>
      <c r="F211" t="inlineStr"/>
      <c r="G211" t="inlineStr"/>
      <c r="H211" t="inlineStr"/>
    </row>
    <row r="212">
      <c r="A212" t="inlineStr">
        <is>
          <t>URGG-211</t>
        </is>
      </c>
      <c r="B212" t="inlineStr">
        <is>
          <t>PREDNISOLONA Y OTROS nasal(RINOBANEDIF)</t>
        </is>
      </c>
      <c r="C212" t="n">
        <v>8</v>
      </c>
      <c r="D212" t="inlineStr"/>
      <c r="E212" t="n">
        <v>8</v>
      </c>
      <c r="F212" t="inlineStr"/>
      <c r="G212" t="inlineStr"/>
      <c r="H212" t="inlineStr"/>
    </row>
    <row r="213">
      <c r="A213" t="inlineStr">
        <is>
          <t>URGG-212</t>
        </is>
      </c>
      <c r="B213" t="inlineStr">
        <is>
          <t>PREDNISONA+NEOMICINA 3g pda oftalmica</t>
        </is>
      </c>
      <c r="C213" t="n">
        <v>2</v>
      </c>
      <c r="D213" t="inlineStr"/>
      <c r="E213" t="n">
        <v>2</v>
      </c>
      <c r="F213" t="inlineStr"/>
      <c r="G213" t="inlineStr"/>
      <c r="H213" t="inlineStr"/>
    </row>
    <row r="214">
      <c r="A214" t="inlineStr">
        <is>
          <t>URGG-213</t>
        </is>
      </c>
      <c r="B214" t="inlineStr">
        <is>
          <t>PROCAINAMIDA 1g /10 ml vl.(BIOCORYL)</t>
        </is>
      </c>
      <c r="C214" t="n">
        <v>10</v>
      </c>
      <c r="D214" t="inlineStr"/>
      <c r="E214" t="n">
        <v>10</v>
      </c>
      <c r="F214" t="inlineStr"/>
      <c r="G214" t="inlineStr"/>
      <c r="H214" t="inlineStr"/>
    </row>
    <row r="215">
      <c r="A215" t="inlineStr">
        <is>
          <t>URGG-214</t>
        </is>
      </c>
      <c r="B215" t="inlineStr">
        <is>
          <t>PROPOFOL 10 mg/ml amp 20 ml</t>
        </is>
      </c>
      <c r="C215" t="n">
        <v>5</v>
      </c>
      <c r="D215" t="inlineStr"/>
      <c r="E215" t="n">
        <v>5</v>
      </c>
      <c r="F215" t="inlineStr"/>
      <c r="G215" t="inlineStr"/>
      <c r="H215" t="inlineStr"/>
    </row>
    <row r="216">
      <c r="A216" t="inlineStr">
        <is>
          <t>URGG-215</t>
        </is>
      </c>
      <c r="B216" t="inlineStr">
        <is>
          <t>PROPOFOL 10 mg/ml vial 50 ml</t>
        </is>
      </c>
      <c r="C216" t="n">
        <v>10</v>
      </c>
      <c r="D216" t="inlineStr"/>
      <c r="E216" t="n">
        <v>10</v>
      </c>
      <c r="F216" t="inlineStr"/>
      <c r="G216" t="inlineStr"/>
      <c r="H216" t="inlineStr"/>
    </row>
    <row r="217">
      <c r="A217" t="inlineStr">
        <is>
          <t>URGG-216</t>
        </is>
      </c>
      <c r="B217" t="inlineStr">
        <is>
          <t>PROPOFOL 20 mg/ml 50 ml vl.</t>
        </is>
      </c>
      <c r="C217" t="n">
        <v>10</v>
      </c>
      <c r="D217" t="inlineStr"/>
      <c r="E217" t="n">
        <v>10</v>
      </c>
      <c r="F217" t="inlineStr"/>
      <c r="G217" t="inlineStr"/>
      <c r="H217" t="inlineStr"/>
    </row>
    <row r="218">
      <c r="A218" t="inlineStr">
        <is>
          <t>URGG-217</t>
        </is>
      </c>
      <c r="B218" t="inlineStr">
        <is>
          <t>PROPRANOLOL 10 mg comp.(SUMIAL)</t>
        </is>
      </c>
      <c r="C218" t="n">
        <v>15</v>
      </c>
      <c r="D218" t="inlineStr"/>
      <c r="E218" t="n">
        <v>15</v>
      </c>
      <c r="F218" t="inlineStr"/>
      <c r="G218" t="inlineStr"/>
      <c r="H218" t="inlineStr"/>
    </row>
    <row r="219">
      <c r="A219" t="inlineStr">
        <is>
          <t>URGG-218</t>
        </is>
      </c>
      <c r="B219" t="inlineStr">
        <is>
          <t>PROPRANOLOL 40 mg comp.(SUMIAL)</t>
        </is>
      </c>
      <c r="C219" t="n">
        <v>20</v>
      </c>
      <c r="D219" t="inlineStr"/>
      <c r="E219" t="n">
        <v>20</v>
      </c>
      <c r="F219" t="inlineStr"/>
      <c r="G219" t="inlineStr"/>
      <c r="H219" t="inlineStr"/>
    </row>
    <row r="220">
      <c r="A220" t="inlineStr">
        <is>
          <t>URGG-219</t>
        </is>
      </c>
      <c r="B220" t="inlineStr">
        <is>
          <t>QUEtiapina 300 mg comp lib prolong</t>
        </is>
      </c>
      <c r="C220" t="n">
        <v>20</v>
      </c>
      <c r="D220" t="inlineStr"/>
      <c r="E220" t="n">
        <v>20</v>
      </c>
      <c r="F220" t="inlineStr"/>
      <c r="G220" t="inlineStr"/>
      <c r="H220" t="inlineStr"/>
    </row>
    <row r="221">
      <c r="A221" t="inlineStr">
        <is>
          <t>URGG-220</t>
        </is>
      </c>
      <c r="B221" t="inlineStr">
        <is>
          <t>QUEtiapina 50 mg comp lib prolong</t>
        </is>
      </c>
      <c r="C221" t="n">
        <v>20</v>
      </c>
      <c r="D221" t="inlineStr"/>
      <c r="E221" t="n">
        <v>20</v>
      </c>
      <c r="F221" t="inlineStr"/>
      <c r="G221" t="inlineStr"/>
      <c r="H221" t="inlineStr"/>
    </row>
    <row r="222">
      <c r="A222" t="inlineStr">
        <is>
          <t>URGG-221</t>
        </is>
      </c>
      <c r="B222" t="inlineStr">
        <is>
          <t>RISPERIDONA 1 mg comp(RISPERDAL)</t>
        </is>
      </c>
      <c r="C222" t="n">
        <v>10</v>
      </c>
      <c r="D222" t="inlineStr"/>
      <c r="E222" t="n">
        <v>10</v>
      </c>
      <c r="F222" t="inlineStr"/>
      <c r="G222" t="inlineStr"/>
      <c r="H222" t="inlineStr"/>
    </row>
    <row r="223">
      <c r="A223" t="inlineStr">
        <is>
          <t>URGG-222</t>
        </is>
      </c>
      <c r="B223" t="inlineStr">
        <is>
          <t>RISPERIDONA 1 mg/ml sol oral</t>
        </is>
      </c>
      <c r="C223" t="n">
        <v>10</v>
      </c>
      <c r="D223" t="inlineStr"/>
      <c r="E223" t="n">
        <v>10</v>
      </c>
      <c r="F223" t="inlineStr"/>
      <c r="G223" t="inlineStr"/>
      <c r="H223" t="inlineStr"/>
    </row>
    <row r="224">
      <c r="A224" t="inlineStr">
        <is>
          <t>URGG-223</t>
        </is>
      </c>
      <c r="B224" t="inlineStr">
        <is>
          <t>RISPERIDONA 3 mg comp(RISPERDAL)</t>
        </is>
      </c>
      <c r="C224" t="n">
        <v>10</v>
      </c>
      <c r="D224" t="inlineStr"/>
      <c r="E224" t="n">
        <v>10</v>
      </c>
      <c r="F224" t="inlineStr"/>
      <c r="G224" t="inlineStr"/>
      <c r="H224" t="inlineStr"/>
    </row>
    <row r="225">
      <c r="A225" t="inlineStr">
        <is>
          <t>URGG-224</t>
        </is>
      </c>
      <c r="B225" t="inlineStr">
        <is>
          <t>RISPERIDONA 6 mg comp(RISPERDAL)</t>
        </is>
      </c>
      <c r="C225" t="n">
        <v>10</v>
      </c>
      <c r="D225" t="inlineStr"/>
      <c r="E225" t="n">
        <v>10</v>
      </c>
      <c r="F225" t="inlineStr"/>
      <c r="G225" t="inlineStr"/>
      <c r="H225" t="inlineStr"/>
    </row>
    <row r="226">
      <c r="A226" t="inlineStr">
        <is>
          <t>URGG-225</t>
        </is>
      </c>
      <c r="B226" t="inlineStr">
        <is>
          <t>ROCURONIO 50 mg/ 5ml amp.(ESMERON)</t>
        </is>
      </c>
      <c r="C226" t="n">
        <v>10</v>
      </c>
      <c r="D226" t="inlineStr"/>
      <c r="E226" t="n">
        <v>10</v>
      </c>
      <c r="F226" t="inlineStr"/>
      <c r="G226" t="inlineStr"/>
      <c r="H226" t="inlineStr"/>
    </row>
    <row r="227">
      <c r="A227" t="inlineStr">
        <is>
          <t>URGG-226</t>
        </is>
      </c>
      <c r="B227" t="inlineStr">
        <is>
          <t>SALBUTAMOL 100 mcg/puls. Inhal</t>
        </is>
      </c>
      <c r="C227" t="n">
        <v>2</v>
      </c>
      <c r="D227" t="inlineStr"/>
      <c r="E227" t="n">
        <v>2</v>
      </c>
      <c r="F227" t="inlineStr"/>
      <c r="G227" t="inlineStr"/>
      <c r="H227" t="inlineStr"/>
    </row>
    <row r="228">
      <c r="A228" t="inlineStr">
        <is>
          <t>URGG-227</t>
        </is>
      </c>
      <c r="B228" t="inlineStr">
        <is>
          <t>SALBUTAMOL 5 mg/ml sol nebulizador</t>
        </is>
      </c>
      <c r="C228" t="n">
        <v>3</v>
      </c>
      <c r="D228" t="inlineStr"/>
      <c r="E228" t="n">
        <v>3</v>
      </c>
      <c r="F228" t="inlineStr"/>
      <c r="G228" t="inlineStr"/>
      <c r="H228" t="inlineStr"/>
    </row>
    <row r="229">
      <c r="A229" t="inlineStr">
        <is>
          <t>URGG-228</t>
        </is>
      </c>
      <c r="B229" t="inlineStr">
        <is>
          <t>SALBUTAMOL 500 mcg/ml amp.(VENTOLIN)</t>
        </is>
      </c>
      <c r="C229" t="n">
        <v>1</v>
      </c>
      <c r="D229" t="inlineStr"/>
      <c r="E229" t="n">
        <v>1</v>
      </c>
      <c r="F229" t="inlineStr"/>
      <c r="G229" t="inlineStr"/>
      <c r="H229" t="inlineStr"/>
    </row>
    <row r="230">
      <c r="A230" t="inlineStr">
        <is>
          <t>URGG-229</t>
        </is>
      </c>
      <c r="B230" t="inlineStr">
        <is>
          <t>S.BICARB.SOD.1/6 M 500 ml plas</t>
        </is>
      </c>
      <c r="C230" t="n">
        <v>20</v>
      </c>
      <c r="D230" t="inlineStr"/>
      <c r="E230" t="n">
        <v>20</v>
      </c>
      <c r="F230" t="inlineStr"/>
      <c r="G230" t="inlineStr"/>
      <c r="H230" t="inlineStr"/>
    </row>
    <row r="231">
      <c r="A231" t="inlineStr">
        <is>
          <t>URGG-230</t>
        </is>
      </c>
      <c r="B231" t="inlineStr">
        <is>
          <t>SOMATOSTATINA 250 mcg amp(SOMATOSTATINA)</t>
        </is>
      </c>
      <c r="C231" t="n">
        <v>5</v>
      </c>
      <c r="D231" t="inlineStr"/>
      <c r="E231" t="n">
        <v>5</v>
      </c>
      <c r="F231" t="inlineStr"/>
      <c r="G231" t="inlineStr"/>
      <c r="H231" t="inlineStr"/>
    </row>
    <row r="232">
      <c r="A232" t="inlineStr">
        <is>
          <t>URGG-231</t>
        </is>
      </c>
      <c r="B232" t="inlineStr">
        <is>
          <t>SOMATOSTATINA 3 mg amp.(SOMATOSTATINA)</t>
        </is>
      </c>
      <c r="C232" t="n">
        <v>5</v>
      </c>
      <c r="D232" t="inlineStr"/>
      <c r="E232" t="n">
        <v>5</v>
      </c>
      <c r="F232" t="inlineStr"/>
      <c r="G232" t="inlineStr"/>
      <c r="H232" t="inlineStr"/>
    </row>
    <row r="233">
      <c r="A233" t="inlineStr">
        <is>
          <t>URGG-232</t>
        </is>
      </c>
      <c r="B233" t="inlineStr">
        <is>
          <t>sulfADIAZINA ARGENT. 50g crema</t>
        </is>
      </c>
      <c r="C233" t="n">
        <v>10</v>
      </c>
      <c r="D233" t="inlineStr"/>
      <c r="E233" t="n">
        <v>10</v>
      </c>
      <c r="F233" t="inlineStr"/>
      <c r="G233" t="inlineStr"/>
      <c r="H233" t="inlineStr"/>
    </row>
    <row r="234">
      <c r="A234" t="inlineStr">
        <is>
          <t>URGG-233</t>
        </is>
      </c>
      <c r="B234" t="inlineStr">
        <is>
          <t>SULPIRIDA 100 mg/2 ml amp.(DOGMATIL)</t>
        </is>
      </c>
      <c r="C234" t="n">
        <v>35</v>
      </c>
      <c r="D234" t="inlineStr"/>
      <c r="E234" t="n">
        <v>35</v>
      </c>
      <c r="F234" t="inlineStr"/>
      <c r="G234" t="inlineStr"/>
      <c r="H234" t="inlineStr"/>
    </row>
    <row r="235">
      <c r="A235" t="inlineStr">
        <is>
          <t>URGG-234</t>
        </is>
      </c>
      <c r="B235" t="inlineStr">
        <is>
          <t>SULPIRIDA 50 mg cap(DOGMATIL)</t>
        </is>
      </c>
      <c r="C235" t="n">
        <v>225</v>
      </c>
      <c r="D235" t="inlineStr"/>
      <c r="E235" t="n">
        <v>225</v>
      </c>
      <c r="F235" t="inlineStr"/>
      <c r="G235" t="inlineStr"/>
      <c r="H235" t="inlineStr"/>
    </row>
    <row r="236">
      <c r="A236" t="inlineStr">
        <is>
          <t>URGG-235</t>
        </is>
      </c>
      <c r="B236" t="inlineStr">
        <is>
          <t>SUXAMETONIO 100 mg/2 ml amp.(ANECTINE)</t>
        </is>
      </c>
      <c r="C236" t="n">
        <v>1</v>
      </c>
      <c r="D236" t="inlineStr"/>
      <c r="E236" t="n">
        <v>1</v>
      </c>
      <c r="F236" t="inlineStr"/>
      <c r="G236" t="inlineStr"/>
      <c r="H236" t="inlineStr"/>
    </row>
    <row r="237">
      <c r="A237" t="inlineStr">
        <is>
          <t>URGG-236</t>
        </is>
      </c>
      <c r="B237" t="inlineStr">
        <is>
          <t>TETRACAINA TOPICA 1% C/A vial</t>
        </is>
      </c>
      <c r="C237" t="n">
        <v>8</v>
      </c>
      <c r="D237" t="inlineStr"/>
      <c r="E237" t="n">
        <v>8</v>
      </c>
      <c r="F237" t="inlineStr"/>
      <c r="G237" t="inlineStr"/>
      <c r="H237" t="inlineStr"/>
    </row>
    <row r="238">
      <c r="A238" t="inlineStr">
        <is>
          <t>URGG-237</t>
        </is>
      </c>
      <c r="B238" t="inlineStr">
        <is>
          <t>TETRACAINA TOPICA 1% S/A 20ml vial</t>
        </is>
      </c>
      <c r="C238" t="n">
        <v>2</v>
      </c>
      <c r="D238" t="inlineStr"/>
      <c r="E238" t="n">
        <v>2</v>
      </c>
      <c r="F238" t="inlineStr"/>
      <c r="G238" t="inlineStr"/>
      <c r="H238" t="inlineStr"/>
    </row>
    <row r="239">
      <c r="A239" t="inlineStr">
        <is>
          <t>URGG-238</t>
        </is>
      </c>
      <c r="B239" t="inlineStr">
        <is>
          <t>TETRACAINA 25 g pda.(LUBRICANTE)</t>
        </is>
      </c>
      <c r="C239" t="n">
        <v>30</v>
      </c>
      <c r="D239" t="inlineStr"/>
      <c r="E239" t="n">
        <v>30</v>
      </c>
      <c r="F239" t="inlineStr"/>
      <c r="G239" t="inlineStr"/>
      <c r="H239" t="inlineStr"/>
    </row>
    <row r="240">
      <c r="A240" t="inlineStr">
        <is>
          <t>URGG-239</t>
        </is>
      </c>
      <c r="B240" t="inlineStr">
        <is>
          <t>TIAMINA 100 mg amp.(BENERVA)</t>
        </is>
      </c>
      <c r="C240" t="n">
        <v>12</v>
      </c>
      <c r="D240" t="inlineStr"/>
      <c r="E240" t="n">
        <v>12</v>
      </c>
      <c r="F240" t="inlineStr"/>
      <c r="G240" t="inlineStr"/>
      <c r="H240" t="inlineStr"/>
    </row>
    <row r="241">
      <c r="A241" t="inlineStr">
        <is>
          <t>URGG-240</t>
        </is>
      </c>
      <c r="B241" t="inlineStr">
        <is>
          <t>TIAPRIDA 100 mg/2 ml amp.(TIAPRIZAL)</t>
        </is>
      </c>
      <c r="C241" t="n">
        <v>12</v>
      </c>
      <c r="D241" t="inlineStr"/>
      <c r="E241" t="n">
        <v>12</v>
      </c>
      <c r="F241" t="inlineStr"/>
      <c r="G241" t="inlineStr"/>
      <c r="H241" t="inlineStr"/>
    </row>
    <row r="242">
      <c r="A242" t="inlineStr">
        <is>
          <t>URGG-241</t>
        </is>
      </c>
      <c r="B242" t="inlineStr">
        <is>
          <t>TICAGRELOR 90 mg comp.</t>
        </is>
      </c>
      <c r="C242" t="n">
        <v>10</v>
      </c>
      <c r="D242" t="inlineStr"/>
      <c r="E242" t="n">
        <v>10</v>
      </c>
      <c r="F242" t="inlineStr"/>
      <c r="G242" t="inlineStr"/>
      <c r="H242" t="inlineStr"/>
    </row>
    <row r="243">
      <c r="A243" t="inlineStr">
        <is>
          <t>URGG-242</t>
        </is>
      </c>
      <c r="B243" t="inlineStr">
        <is>
          <t>TICAGRELOR 90 mg comp. bucodisp.</t>
        </is>
      </c>
      <c r="C243" t="n">
        <v>1</v>
      </c>
      <c r="D243" t="inlineStr"/>
      <c r="E243" t="n">
        <v>1</v>
      </c>
      <c r="F243" t="inlineStr"/>
      <c r="G243" t="inlineStr"/>
      <c r="H243" t="inlineStr"/>
    </row>
    <row r="244">
      <c r="A244" t="inlineStr">
        <is>
          <t>URGG-243</t>
        </is>
      </c>
      <c r="B244" t="inlineStr">
        <is>
          <t>TOBRAMICINA 100 mg vl.(TOBRAMICINA)</t>
        </is>
      </c>
      <c r="C244" t="n">
        <v>5</v>
      </c>
      <c r="D244" t="inlineStr"/>
      <c r="E244" t="n">
        <v>5</v>
      </c>
      <c r="F244" t="inlineStr"/>
      <c r="G244" t="inlineStr"/>
      <c r="H244" t="inlineStr"/>
    </row>
    <row r="245">
      <c r="A245" t="inlineStr">
        <is>
          <t>URGG-244</t>
        </is>
      </c>
      <c r="B245" t="inlineStr">
        <is>
          <t>traMADoL 50 mg cap.(TRAMADOL)</t>
        </is>
      </c>
      <c r="C245" t="n">
        <v>240</v>
      </c>
      <c r="D245" t="inlineStr"/>
      <c r="E245" t="n">
        <v>240</v>
      </c>
      <c r="F245" t="inlineStr"/>
      <c r="G245" t="inlineStr"/>
      <c r="H245" t="inlineStr"/>
    </row>
    <row r="246">
      <c r="A246" t="inlineStr">
        <is>
          <t>URGG-245</t>
        </is>
      </c>
      <c r="B246" t="inlineStr">
        <is>
          <t>traMADoL100 mg/2 ml amp.</t>
        </is>
      </c>
      <c r="C246" t="n">
        <v>12</v>
      </c>
      <c r="D246" t="inlineStr"/>
      <c r="E246" t="n">
        <v>12</v>
      </c>
      <c r="F246" t="inlineStr"/>
      <c r="G246" t="inlineStr"/>
      <c r="H246" t="inlineStr"/>
    </row>
    <row r="247">
      <c r="A247" t="inlineStr">
        <is>
          <t>URGG-246</t>
        </is>
      </c>
      <c r="B247" t="inlineStr">
        <is>
          <t>TRANEXAMICO ACIDO 500 mg/5 ml</t>
        </is>
      </c>
      <c r="C247" t="n">
        <v>10</v>
      </c>
      <c r="D247" t="inlineStr"/>
      <c r="E247" t="n">
        <v>10</v>
      </c>
      <c r="F247" t="inlineStr"/>
      <c r="G247" t="inlineStr"/>
      <c r="H247" t="inlineStr"/>
    </row>
    <row r="248">
      <c r="A248" t="inlineStr">
        <is>
          <t>URGG-247</t>
        </is>
      </c>
      <c r="B248" t="inlineStr">
        <is>
          <t>traZODona 100 mg comp.(DEPRAX)</t>
        </is>
      </c>
      <c r="C248" t="n">
        <v>20</v>
      </c>
      <c r="D248" t="inlineStr"/>
      <c r="E248" t="n">
        <v>20</v>
      </c>
      <c r="F248" t="inlineStr"/>
      <c r="G248" t="inlineStr"/>
      <c r="H248" t="inlineStr"/>
    </row>
    <row r="249">
      <c r="A249" t="inlineStr">
        <is>
          <t>URGG-248</t>
        </is>
      </c>
      <c r="B249" t="inlineStr">
        <is>
          <t>TRIAMCINOLONA depot 40 mg amp.(TRIGON)</t>
        </is>
      </c>
      <c r="C249" t="n">
        <v>1</v>
      </c>
      <c r="D249" t="inlineStr"/>
      <c r="E249" t="n">
        <v>1</v>
      </c>
      <c r="F249" t="inlineStr"/>
      <c r="G249" t="inlineStr"/>
      <c r="H249" t="inlineStr"/>
    </row>
    <row r="250">
      <c r="A250" t="inlineStr">
        <is>
          <t>URGG-249</t>
        </is>
      </c>
      <c r="B250" t="inlineStr">
        <is>
          <t>TROPICAMIDA colirio.(COLIR TROPICAMIDA)</t>
        </is>
      </c>
      <c r="C250" t="n">
        <v>5</v>
      </c>
      <c r="D250" t="inlineStr"/>
      <c r="E250" t="n">
        <v>5</v>
      </c>
      <c r="F250" t="inlineStr"/>
      <c r="G250" t="inlineStr"/>
      <c r="H250" t="inlineStr"/>
    </row>
    <row r="251">
      <c r="A251" t="inlineStr">
        <is>
          <t>URGG-250</t>
        </is>
      </c>
      <c r="B251" t="inlineStr">
        <is>
          <t>URAPIDIL 50 mg/10 ml amp.(ELGADIL)</t>
        </is>
      </c>
      <c r="C251" t="n">
        <v>10</v>
      </c>
      <c r="D251" t="inlineStr"/>
      <c r="E251" t="n">
        <v>10</v>
      </c>
      <c r="F251" t="inlineStr"/>
      <c r="G251" t="inlineStr"/>
      <c r="H251" t="inlineStr"/>
    </row>
    <row r="252">
      <c r="A252" t="inlineStr">
        <is>
          <t>URGG-251</t>
        </is>
      </c>
      <c r="B252" t="inlineStr">
        <is>
          <t>VALPROICO 400 mg iny(DEPAKINE)</t>
        </is>
      </c>
      <c r="C252" t="n">
        <v>10</v>
      </c>
      <c r="D252" t="inlineStr"/>
      <c r="E252" t="n">
        <v>10</v>
      </c>
      <c r="F252" t="inlineStr"/>
      <c r="G252" t="inlineStr"/>
      <c r="H252" t="inlineStr"/>
    </row>
    <row r="253">
      <c r="A253" t="inlineStr">
        <is>
          <t>URGG-252</t>
        </is>
      </c>
      <c r="B253" t="inlineStr">
        <is>
          <t>VASELINA 30 g pda.</t>
        </is>
      </c>
      <c r="C253" t="n">
        <v>10</v>
      </c>
      <c r="D253" t="inlineStr"/>
      <c r="E253" t="n">
        <v>10</v>
      </c>
      <c r="F253" t="inlineStr"/>
      <c r="G253" t="inlineStr"/>
      <c r="H253" t="inlineStr"/>
    </row>
    <row r="254">
      <c r="A254" t="inlineStr">
        <is>
          <t>URGG-253</t>
        </is>
      </c>
      <c r="B254" t="inlineStr">
        <is>
          <t>VERAPAMILO 5 mg/2 ml amp.(MANIDON)</t>
        </is>
      </c>
      <c r="C254" t="n">
        <v>5</v>
      </c>
      <c r="D254" t="inlineStr"/>
      <c r="E254" t="n">
        <v>5</v>
      </c>
      <c r="F254" t="inlineStr"/>
      <c r="G254" t="inlineStr"/>
      <c r="H254" t="inlineStr"/>
    </row>
    <row r="255">
      <c r="A255" t="inlineStr">
        <is>
          <t>URGG-254</t>
        </is>
      </c>
      <c r="B255" t="inlineStr">
        <is>
          <t>VITAMINA K 10 mg amp.(KONAKION)</t>
        </is>
      </c>
      <c r="C255" t="n">
        <v>6</v>
      </c>
      <c r="D255" t="inlineStr"/>
      <c r="E255" t="n">
        <v>6</v>
      </c>
      <c r="F255" t="inlineStr"/>
      <c r="G255" t="inlineStr"/>
      <c r="H255" t="inlineStr"/>
    </row>
    <row r="256">
      <c r="A256" t="inlineStr">
        <is>
          <t>URGG-255</t>
        </is>
      </c>
      <c r="B256" t="inlineStr">
        <is>
          <t>XILANPOLISULF. ACID g pda. (THROMBOCID)</t>
        </is>
      </c>
      <c r="C256" t="n">
        <v>20</v>
      </c>
      <c r="D256" t="inlineStr"/>
      <c r="E256" t="n">
        <v>20</v>
      </c>
      <c r="F256" t="inlineStr"/>
      <c r="G256" t="inlineStr"/>
      <c r="H256" t="inlineStr"/>
    </row>
    <row r="257">
      <c r="A257" t="inlineStr">
        <is>
          <t>URGG-256</t>
        </is>
      </c>
      <c r="B257" t="inlineStr">
        <is>
          <t>ZOLEDRONATO 4 mg iny(ZOMETA)</t>
        </is>
      </c>
      <c r="C257" t="n">
        <v>1</v>
      </c>
      <c r="D257" t="inlineStr"/>
      <c r="E257" t="n">
        <v>1</v>
      </c>
      <c r="F257" t="inlineStr"/>
      <c r="G257" t="inlineStr"/>
      <c r="H257" t="inlineStr"/>
    </row>
    <row r="258">
      <c r="A258" t="inlineStr">
        <is>
          <t>URGG-257</t>
        </is>
      </c>
      <c r="B258" t="inlineStr">
        <is>
          <t>ZOLMITRIPTAN FLAS 2,5 mg comp buc(ZOMIG)</t>
        </is>
      </c>
      <c r="C258" t="n">
        <v>50</v>
      </c>
      <c r="D258" t="inlineStr"/>
      <c r="E258" t="n">
        <v>50</v>
      </c>
      <c r="F258" t="inlineStr"/>
      <c r="G258" t="inlineStr"/>
      <c r="H258" t="inlineStr"/>
    </row>
  </sheetData>
  <autoFilter ref="A1:H25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2" customWidth="1" min="3" max="3"/>
    <col width="16" customWidth="1" min="4" max="4"/>
    <col width="12" customWidth="1" min="5" max="5"/>
    <col width="16" customWidth="1" min="6" max="6"/>
    <col width="20" customWidth="1" min="7" max="7"/>
  </cols>
  <sheetData>
    <row r="1">
      <c r="A1" s="2" t="inlineStr">
        <is>
          <t>Código QR</t>
        </is>
      </c>
      <c r="B1" s="2" t="inlineStr">
        <is>
          <t>Medicamento / Artículo</t>
        </is>
      </c>
      <c r="C1" s="2" t="inlineStr">
        <is>
          <t>Pacto</t>
        </is>
      </c>
      <c r="D1" s="2" t="inlineStr">
        <is>
          <t>Stock contado</t>
        </is>
      </c>
      <c r="E1" s="2" t="inlineStr">
        <is>
          <t>Falta</t>
        </is>
      </c>
      <c r="F1" s="2" t="inlineStr">
        <is>
          <t>Estado</t>
        </is>
      </c>
      <c r="G1" s="2" t="inlineStr">
        <is>
          <t>Ubicación</t>
        </is>
      </c>
    </row>
    <row r="2">
      <c r="A2">
        <f>INVENTARIO!A2</f>
        <v/>
      </c>
      <c r="B2">
        <f>INVENTARIO!B2</f>
        <v/>
      </c>
      <c r="C2">
        <f>INVENTARIO!C2</f>
        <v/>
      </c>
      <c r="D2">
        <f>IF(INVENTARIO!D2="","",INVENTARIO!D2)</f>
        <v/>
      </c>
      <c r="E2">
        <f>IF(D2="","",MAX(0,C2-D2))</f>
        <v/>
      </c>
      <c r="F2">
        <f>IF(D2="","PENDIENTE",IF(D2&lt;C2,"REPOSICIÓN","OK"))</f>
        <v/>
      </c>
      <c r="G2">
        <f>INVENTARIO!F2</f>
        <v/>
      </c>
    </row>
    <row r="3">
      <c r="A3">
        <f>INVENTARIO!A3</f>
        <v/>
      </c>
      <c r="B3">
        <f>INVENTARIO!B3</f>
        <v/>
      </c>
      <c r="C3">
        <f>INVENTARIO!C3</f>
        <v/>
      </c>
      <c r="D3">
        <f>IF(INVENTARIO!D3="","",INVENTARIO!D3)</f>
        <v/>
      </c>
      <c r="E3">
        <f>IF(D3="","",MAX(0,C3-D3))</f>
        <v/>
      </c>
      <c r="F3">
        <f>IF(D3="","PENDIENTE",IF(D3&lt;C3,"REPOSICIÓN","OK"))</f>
        <v/>
      </c>
      <c r="G3">
        <f>INVENTARIO!F3</f>
        <v/>
      </c>
    </row>
    <row r="4">
      <c r="A4">
        <f>INVENTARIO!A4</f>
        <v/>
      </c>
      <c r="B4">
        <f>INVENTARIO!B4</f>
        <v/>
      </c>
      <c r="C4">
        <f>INVENTARIO!C4</f>
        <v/>
      </c>
      <c r="D4">
        <f>IF(INVENTARIO!D4="","",INVENTARIO!D4)</f>
        <v/>
      </c>
      <c r="E4">
        <f>IF(D4="","",MAX(0,C4-D4))</f>
        <v/>
      </c>
      <c r="F4">
        <f>IF(D4="","PENDIENTE",IF(D4&lt;C4,"REPOSICIÓN","OK"))</f>
        <v/>
      </c>
      <c r="G4">
        <f>INVENTARIO!F4</f>
        <v/>
      </c>
    </row>
    <row r="5">
      <c r="A5">
        <f>INVENTARIO!A5</f>
        <v/>
      </c>
      <c r="B5">
        <f>INVENTARIO!B5</f>
        <v/>
      </c>
      <c r="C5">
        <f>INVENTARIO!C5</f>
        <v/>
      </c>
      <c r="D5">
        <f>IF(INVENTARIO!D5="","",INVENTARIO!D5)</f>
        <v/>
      </c>
      <c r="E5">
        <f>IF(D5="","",MAX(0,C5-D5))</f>
        <v/>
      </c>
      <c r="F5">
        <f>IF(D5="","PENDIENTE",IF(D5&lt;C5,"REPOSICIÓN","OK"))</f>
        <v/>
      </c>
      <c r="G5">
        <f>INVENTARIO!F5</f>
        <v/>
      </c>
    </row>
    <row r="6">
      <c r="A6">
        <f>INVENTARIO!A6</f>
        <v/>
      </c>
      <c r="B6">
        <f>INVENTARIO!B6</f>
        <v/>
      </c>
      <c r="C6">
        <f>INVENTARIO!C6</f>
        <v/>
      </c>
      <c r="D6">
        <f>IF(INVENTARIO!D6="","",INVENTARIO!D6)</f>
        <v/>
      </c>
      <c r="E6">
        <f>IF(D6="","",MAX(0,C6-D6))</f>
        <v/>
      </c>
      <c r="F6">
        <f>IF(D6="","PENDIENTE",IF(D6&lt;C6,"REPOSICIÓN","OK"))</f>
        <v/>
      </c>
      <c r="G6">
        <f>INVENTARIO!F6</f>
        <v/>
      </c>
    </row>
    <row r="7">
      <c r="A7">
        <f>INVENTARIO!A7</f>
        <v/>
      </c>
      <c r="B7">
        <f>INVENTARIO!B7</f>
        <v/>
      </c>
      <c r="C7">
        <f>INVENTARIO!C7</f>
        <v/>
      </c>
      <c r="D7">
        <f>IF(INVENTARIO!D7="","",INVENTARIO!D7)</f>
        <v/>
      </c>
      <c r="E7">
        <f>IF(D7="","",MAX(0,C7-D7))</f>
        <v/>
      </c>
      <c r="F7">
        <f>IF(D7="","PENDIENTE",IF(D7&lt;C7,"REPOSICIÓN","OK"))</f>
        <v/>
      </c>
      <c r="G7">
        <f>INVENTARIO!F7</f>
        <v/>
      </c>
    </row>
    <row r="8">
      <c r="A8">
        <f>INVENTARIO!A8</f>
        <v/>
      </c>
      <c r="B8">
        <f>INVENTARIO!B8</f>
        <v/>
      </c>
      <c r="C8">
        <f>INVENTARIO!C8</f>
        <v/>
      </c>
      <c r="D8">
        <f>IF(INVENTARIO!D8="","",INVENTARIO!D8)</f>
        <v/>
      </c>
      <c r="E8">
        <f>IF(D8="","",MAX(0,C8-D8))</f>
        <v/>
      </c>
      <c r="F8">
        <f>IF(D8="","PENDIENTE",IF(D8&lt;C8,"REPOSICIÓN","OK"))</f>
        <v/>
      </c>
      <c r="G8">
        <f>INVENTARIO!F8</f>
        <v/>
      </c>
    </row>
    <row r="9">
      <c r="A9">
        <f>INVENTARIO!A9</f>
        <v/>
      </c>
      <c r="B9">
        <f>INVENTARIO!B9</f>
        <v/>
      </c>
      <c r="C9">
        <f>INVENTARIO!C9</f>
        <v/>
      </c>
      <c r="D9">
        <f>IF(INVENTARIO!D9="","",INVENTARIO!D9)</f>
        <v/>
      </c>
      <c r="E9">
        <f>IF(D9="","",MAX(0,C9-D9))</f>
        <v/>
      </c>
      <c r="F9">
        <f>IF(D9="","PENDIENTE",IF(D9&lt;C9,"REPOSICIÓN","OK"))</f>
        <v/>
      </c>
      <c r="G9">
        <f>INVENTARIO!F9</f>
        <v/>
      </c>
    </row>
    <row r="10">
      <c r="A10">
        <f>INVENTARIO!A10</f>
        <v/>
      </c>
      <c r="B10">
        <f>INVENTARIO!B10</f>
        <v/>
      </c>
      <c r="C10">
        <f>INVENTARIO!C10</f>
        <v/>
      </c>
      <c r="D10">
        <f>IF(INVENTARIO!D10="","",INVENTARIO!D10)</f>
        <v/>
      </c>
      <c r="E10">
        <f>IF(D10="","",MAX(0,C10-D10))</f>
        <v/>
      </c>
      <c r="F10">
        <f>IF(D10="","PENDIENTE",IF(D10&lt;C10,"REPOSICIÓN","OK"))</f>
        <v/>
      </c>
      <c r="G10">
        <f>INVENTARIO!F10</f>
        <v/>
      </c>
    </row>
    <row r="11">
      <c r="A11">
        <f>INVENTARIO!A11</f>
        <v/>
      </c>
      <c r="B11">
        <f>INVENTARIO!B11</f>
        <v/>
      </c>
      <c r="C11">
        <f>INVENTARIO!C11</f>
        <v/>
      </c>
      <c r="D11">
        <f>IF(INVENTARIO!D11="","",INVENTARIO!D11)</f>
        <v/>
      </c>
      <c r="E11">
        <f>IF(D11="","",MAX(0,C11-D11))</f>
        <v/>
      </c>
      <c r="F11">
        <f>IF(D11="","PENDIENTE",IF(D11&lt;C11,"REPOSICIÓN","OK"))</f>
        <v/>
      </c>
      <c r="G11">
        <f>INVENTARIO!F11</f>
        <v/>
      </c>
    </row>
    <row r="12">
      <c r="A12">
        <f>INVENTARIO!A12</f>
        <v/>
      </c>
      <c r="B12">
        <f>INVENTARIO!B12</f>
        <v/>
      </c>
      <c r="C12">
        <f>INVENTARIO!C12</f>
        <v/>
      </c>
      <c r="D12">
        <f>IF(INVENTARIO!D12="","",INVENTARIO!D12)</f>
        <v/>
      </c>
      <c r="E12">
        <f>IF(D12="","",MAX(0,C12-D12))</f>
        <v/>
      </c>
      <c r="F12">
        <f>IF(D12="","PENDIENTE",IF(D12&lt;C12,"REPOSICIÓN","OK"))</f>
        <v/>
      </c>
      <c r="G12">
        <f>INVENTARIO!F12</f>
        <v/>
      </c>
    </row>
    <row r="13">
      <c r="A13">
        <f>INVENTARIO!A13</f>
        <v/>
      </c>
      <c r="B13">
        <f>INVENTARIO!B13</f>
        <v/>
      </c>
      <c r="C13">
        <f>INVENTARIO!C13</f>
        <v/>
      </c>
      <c r="D13">
        <f>IF(INVENTARIO!D13="","",INVENTARIO!D13)</f>
        <v/>
      </c>
      <c r="E13">
        <f>IF(D13="","",MAX(0,C13-D13))</f>
        <v/>
      </c>
      <c r="F13">
        <f>IF(D13="","PENDIENTE",IF(D13&lt;C13,"REPOSICIÓN","OK"))</f>
        <v/>
      </c>
      <c r="G13">
        <f>INVENTARIO!F13</f>
        <v/>
      </c>
    </row>
    <row r="14">
      <c r="A14">
        <f>INVENTARIO!A14</f>
        <v/>
      </c>
      <c r="B14">
        <f>INVENTARIO!B14</f>
        <v/>
      </c>
      <c r="C14">
        <f>INVENTARIO!C14</f>
        <v/>
      </c>
      <c r="D14">
        <f>IF(INVENTARIO!D14="","",INVENTARIO!D14)</f>
        <v/>
      </c>
      <c r="E14">
        <f>IF(D14="","",MAX(0,C14-D14))</f>
        <v/>
      </c>
      <c r="F14">
        <f>IF(D14="","PENDIENTE",IF(D14&lt;C14,"REPOSICIÓN","OK"))</f>
        <v/>
      </c>
      <c r="G14">
        <f>INVENTARIO!F14</f>
        <v/>
      </c>
    </row>
    <row r="15">
      <c r="A15">
        <f>INVENTARIO!A15</f>
        <v/>
      </c>
      <c r="B15">
        <f>INVENTARIO!B15</f>
        <v/>
      </c>
      <c r="C15">
        <f>INVENTARIO!C15</f>
        <v/>
      </c>
      <c r="D15">
        <f>IF(INVENTARIO!D15="","",INVENTARIO!D15)</f>
        <v/>
      </c>
      <c r="E15">
        <f>IF(D15="","",MAX(0,C15-D15))</f>
        <v/>
      </c>
      <c r="F15">
        <f>IF(D15="","PENDIENTE",IF(D15&lt;C15,"REPOSICIÓN","OK"))</f>
        <v/>
      </c>
      <c r="G15">
        <f>INVENTARIO!F15</f>
        <v/>
      </c>
    </row>
    <row r="16">
      <c r="A16">
        <f>INVENTARIO!A16</f>
        <v/>
      </c>
      <c r="B16">
        <f>INVENTARIO!B16</f>
        <v/>
      </c>
      <c r="C16">
        <f>INVENTARIO!C16</f>
        <v/>
      </c>
      <c r="D16">
        <f>IF(INVENTARIO!D16="","",INVENTARIO!D16)</f>
        <v/>
      </c>
      <c r="E16">
        <f>IF(D16="","",MAX(0,C16-D16))</f>
        <v/>
      </c>
      <c r="F16">
        <f>IF(D16="","PENDIENTE",IF(D16&lt;C16,"REPOSICIÓN","OK"))</f>
        <v/>
      </c>
      <c r="G16">
        <f>INVENTARIO!F16</f>
        <v/>
      </c>
    </row>
    <row r="17">
      <c r="A17">
        <f>INVENTARIO!A17</f>
        <v/>
      </c>
      <c r="B17">
        <f>INVENTARIO!B17</f>
        <v/>
      </c>
      <c r="C17">
        <f>INVENTARIO!C17</f>
        <v/>
      </c>
      <c r="D17">
        <f>IF(INVENTARIO!D17="","",INVENTARIO!D17)</f>
        <v/>
      </c>
      <c r="E17">
        <f>IF(D17="","",MAX(0,C17-D17))</f>
        <v/>
      </c>
      <c r="F17">
        <f>IF(D17="","PENDIENTE",IF(D17&lt;C17,"REPOSICIÓN","OK"))</f>
        <v/>
      </c>
      <c r="G17">
        <f>INVENTARIO!F17</f>
        <v/>
      </c>
    </row>
    <row r="18">
      <c r="A18">
        <f>INVENTARIO!A18</f>
        <v/>
      </c>
      <c r="B18">
        <f>INVENTARIO!B18</f>
        <v/>
      </c>
      <c r="C18">
        <f>INVENTARIO!C18</f>
        <v/>
      </c>
      <c r="D18">
        <f>IF(INVENTARIO!D18="","",INVENTARIO!D18)</f>
        <v/>
      </c>
      <c r="E18">
        <f>IF(D18="","",MAX(0,C18-D18))</f>
        <v/>
      </c>
      <c r="F18">
        <f>IF(D18="","PENDIENTE",IF(D18&lt;C18,"REPOSICIÓN","OK"))</f>
        <v/>
      </c>
      <c r="G18">
        <f>INVENTARIO!F18</f>
        <v/>
      </c>
    </row>
    <row r="19">
      <c r="A19">
        <f>INVENTARIO!A19</f>
        <v/>
      </c>
      <c r="B19">
        <f>INVENTARIO!B19</f>
        <v/>
      </c>
      <c r="C19">
        <f>INVENTARIO!C19</f>
        <v/>
      </c>
      <c r="D19">
        <f>IF(INVENTARIO!D19="","",INVENTARIO!D19)</f>
        <v/>
      </c>
      <c r="E19">
        <f>IF(D19="","",MAX(0,C19-D19))</f>
        <v/>
      </c>
      <c r="F19">
        <f>IF(D19="","PENDIENTE",IF(D19&lt;C19,"REPOSICIÓN","OK"))</f>
        <v/>
      </c>
      <c r="G19">
        <f>INVENTARIO!F19</f>
        <v/>
      </c>
    </row>
    <row r="20">
      <c r="A20">
        <f>INVENTARIO!A20</f>
        <v/>
      </c>
      <c r="B20">
        <f>INVENTARIO!B20</f>
        <v/>
      </c>
      <c r="C20">
        <f>INVENTARIO!C20</f>
        <v/>
      </c>
      <c r="D20">
        <f>IF(INVENTARIO!D20="","",INVENTARIO!D20)</f>
        <v/>
      </c>
      <c r="E20">
        <f>IF(D20="","",MAX(0,C20-D20))</f>
        <v/>
      </c>
      <c r="F20">
        <f>IF(D20="","PENDIENTE",IF(D20&lt;C20,"REPOSICIÓN","OK"))</f>
        <v/>
      </c>
      <c r="G20">
        <f>INVENTARIO!F20</f>
        <v/>
      </c>
    </row>
    <row r="21">
      <c r="A21">
        <f>INVENTARIO!A21</f>
        <v/>
      </c>
      <c r="B21">
        <f>INVENTARIO!B21</f>
        <v/>
      </c>
      <c r="C21">
        <f>INVENTARIO!C21</f>
        <v/>
      </c>
      <c r="D21">
        <f>IF(INVENTARIO!D21="","",INVENTARIO!D21)</f>
        <v/>
      </c>
      <c r="E21">
        <f>IF(D21="","",MAX(0,C21-D21))</f>
        <v/>
      </c>
      <c r="F21">
        <f>IF(D21="","PENDIENTE",IF(D21&lt;C21,"REPOSICIÓN","OK"))</f>
        <v/>
      </c>
      <c r="G21">
        <f>INVENTARIO!F21</f>
        <v/>
      </c>
    </row>
    <row r="22">
      <c r="A22">
        <f>INVENTARIO!A22</f>
        <v/>
      </c>
      <c r="B22">
        <f>INVENTARIO!B22</f>
        <v/>
      </c>
      <c r="C22">
        <f>INVENTARIO!C22</f>
        <v/>
      </c>
      <c r="D22">
        <f>IF(INVENTARIO!D22="","",INVENTARIO!D22)</f>
        <v/>
      </c>
      <c r="E22">
        <f>IF(D22="","",MAX(0,C22-D22))</f>
        <v/>
      </c>
      <c r="F22">
        <f>IF(D22="","PENDIENTE",IF(D22&lt;C22,"REPOSICIÓN","OK"))</f>
        <v/>
      </c>
      <c r="G22">
        <f>INVENTARIO!F22</f>
        <v/>
      </c>
    </row>
    <row r="23">
      <c r="A23">
        <f>INVENTARIO!A23</f>
        <v/>
      </c>
      <c r="B23">
        <f>INVENTARIO!B23</f>
        <v/>
      </c>
      <c r="C23">
        <f>INVENTARIO!C23</f>
        <v/>
      </c>
      <c r="D23">
        <f>IF(INVENTARIO!D23="","",INVENTARIO!D23)</f>
        <v/>
      </c>
      <c r="E23">
        <f>IF(D23="","",MAX(0,C23-D23))</f>
        <v/>
      </c>
      <c r="F23">
        <f>IF(D23="","PENDIENTE",IF(D23&lt;C23,"REPOSICIÓN","OK"))</f>
        <v/>
      </c>
      <c r="G23">
        <f>INVENTARIO!F23</f>
        <v/>
      </c>
    </row>
    <row r="24">
      <c r="A24">
        <f>INVENTARIO!A24</f>
        <v/>
      </c>
      <c r="B24">
        <f>INVENTARIO!B24</f>
        <v/>
      </c>
      <c r="C24">
        <f>INVENTARIO!C24</f>
        <v/>
      </c>
      <c r="D24">
        <f>IF(INVENTARIO!D24="","",INVENTARIO!D24)</f>
        <v/>
      </c>
      <c r="E24">
        <f>IF(D24="","",MAX(0,C24-D24))</f>
        <v/>
      </c>
      <c r="F24">
        <f>IF(D24="","PENDIENTE",IF(D24&lt;C24,"REPOSICIÓN","OK"))</f>
        <v/>
      </c>
      <c r="G24">
        <f>INVENTARIO!F24</f>
        <v/>
      </c>
    </row>
    <row r="25">
      <c r="A25">
        <f>INVENTARIO!A25</f>
        <v/>
      </c>
      <c r="B25">
        <f>INVENTARIO!B25</f>
        <v/>
      </c>
      <c r="C25">
        <f>INVENTARIO!C25</f>
        <v/>
      </c>
      <c r="D25">
        <f>IF(INVENTARIO!D25="","",INVENTARIO!D25)</f>
        <v/>
      </c>
      <c r="E25">
        <f>IF(D25="","",MAX(0,C25-D25))</f>
        <v/>
      </c>
      <c r="F25">
        <f>IF(D25="","PENDIENTE",IF(D25&lt;C25,"REPOSICIÓN","OK"))</f>
        <v/>
      </c>
      <c r="G25">
        <f>INVENTARIO!F25</f>
        <v/>
      </c>
    </row>
    <row r="26">
      <c r="A26">
        <f>INVENTARIO!A26</f>
        <v/>
      </c>
      <c r="B26">
        <f>INVENTARIO!B26</f>
        <v/>
      </c>
      <c r="C26">
        <f>INVENTARIO!C26</f>
        <v/>
      </c>
      <c r="D26">
        <f>IF(INVENTARIO!D26="","",INVENTARIO!D26)</f>
        <v/>
      </c>
      <c r="E26">
        <f>IF(D26="","",MAX(0,C26-D26))</f>
        <v/>
      </c>
      <c r="F26">
        <f>IF(D26="","PENDIENTE",IF(D26&lt;C26,"REPOSICIÓN","OK"))</f>
        <v/>
      </c>
      <c r="G26">
        <f>INVENTARIO!F26</f>
        <v/>
      </c>
    </row>
    <row r="27">
      <c r="A27">
        <f>INVENTARIO!A27</f>
        <v/>
      </c>
      <c r="B27">
        <f>INVENTARIO!B27</f>
        <v/>
      </c>
      <c r="C27">
        <f>INVENTARIO!C27</f>
        <v/>
      </c>
      <c r="D27">
        <f>IF(INVENTARIO!D27="","",INVENTARIO!D27)</f>
        <v/>
      </c>
      <c r="E27">
        <f>IF(D27="","",MAX(0,C27-D27))</f>
        <v/>
      </c>
      <c r="F27">
        <f>IF(D27="","PENDIENTE",IF(D27&lt;C27,"REPOSICIÓN","OK"))</f>
        <v/>
      </c>
      <c r="G27">
        <f>INVENTARIO!F27</f>
        <v/>
      </c>
    </row>
    <row r="28">
      <c r="A28">
        <f>INVENTARIO!A28</f>
        <v/>
      </c>
      <c r="B28">
        <f>INVENTARIO!B28</f>
        <v/>
      </c>
      <c r="C28">
        <f>INVENTARIO!C28</f>
        <v/>
      </c>
      <c r="D28">
        <f>IF(INVENTARIO!D28="","",INVENTARIO!D28)</f>
        <v/>
      </c>
      <c r="E28">
        <f>IF(D28="","",MAX(0,C28-D28))</f>
        <v/>
      </c>
      <c r="F28">
        <f>IF(D28="","PENDIENTE",IF(D28&lt;C28,"REPOSICIÓN","OK"))</f>
        <v/>
      </c>
      <c r="G28">
        <f>INVENTARIO!F28</f>
        <v/>
      </c>
    </row>
    <row r="29">
      <c r="A29">
        <f>INVENTARIO!A29</f>
        <v/>
      </c>
      <c r="B29">
        <f>INVENTARIO!B29</f>
        <v/>
      </c>
      <c r="C29">
        <f>INVENTARIO!C29</f>
        <v/>
      </c>
      <c r="D29">
        <f>IF(INVENTARIO!D29="","",INVENTARIO!D29)</f>
        <v/>
      </c>
      <c r="E29">
        <f>IF(D29="","",MAX(0,C29-D29))</f>
        <v/>
      </c>
      <c r="F29">
        <f>IF(D29="","PENDIENTE",IF(D29&lt;C29,"REPOSICIÓN","OK"))</f>
        <v/>
      </c>
      <c r="G29">
        <f>INVENTARIO!F29</f>
        <v/>
      </c>
    </row>
    <row r="30">
      <c r="A30">
        <f>INVENTARIO!A30</f>
        <v/>
      </c>
      <c r="B30">
        <f>INVENTARIO!B30</f>
        <v/>
      </c>
      <c r="C30">
        <f>INVENTARIO!C30</f>
        <v/>
      </c>
      <c r="D30">
        <f>IF(INVENTARIO!D30="","",INVENTARIO!D30)</f>
        <v/>
      </c>
      <c r="E30">
        <f>IF(D30="","",MAX(0,C30-D30))</f>
        <v/>
      </c>
      <c r="F30">
        <f>IF(D30="","PENDIENTE",IF(D30&lt;C30,"REPOSICIÓN","OK"))</f>
        <v/>
      </c>
      <c r="G30">
        <f>INVENTARIO!F30</f>
        <v/>
      </c>
    </row>
    <row r="31">
      <c r="A31">
        <f>INVENTARIO!A31</f>
        <v/>
      </c>
      <c r="B31">
        <f>INVENTARIO!B31</f>
        <v/>
      </c>
      <c r="C31">
        <f>INVENTARIO!C31</f>
        <v/>
      </c>
      <c r="D31">
        <f>IF(INVENTARIO!D31="","",INVENTARIO!D31)</f>
        <v/>
      </c>
      <c r="E31">
        <f>IF(D31="","",MAX(0,C31-D31))</f>
        <v/>
      </c>
      <c r="F31">
        <f>IF(D31="","PENDIENTE",IF(D31&lt;C31,"REPOSICIÓN","OK"))</f>
        <v/>
      </c>
      <c r="G31">
        <f>INVENTARIO!F31</f>
        <v/>
      </c>
    </row>
    <row r="32">
      <c r="A32">
        <f>INVENTARIO!A32</f>
        <v/>
      </c>
      <c r="B32">
        <f>INVENTARIO!B32</f>
        <v/>
      </c>
      <c r="C32">
        <f>INVENTARIO!C32</f>
        <v/>
      </c>
      <c r="D32">
        <f>IF(INVENTARIO!D32="","",INVENTARIO!D32)</f>
        <v/>
      </c>
      <c r="E32">
        <f>IF(D32="","",MAX(0,C32-D32))</f>
        <v/>
      </c>
      <c r="F32">
        <f>IF(D32="","PENDIENTE",IF(D32&lt;C32,"REPOSICIÓN","OK"))</f>
        <v/>
      </c>
      <c r="G32">
        <f>INVENTARIO!F32</f>
        <v/>
      </c>
    </row>
    <row r="33">
      <c r="A33">
        <f>INVENTARIO!A33</f>
        <v/>
      </c>
      <c r="B33">
        <f>INVENTARIO!B33</f>
        <v/>
      </c>
      <c r="C33">
        <f>INVENTARIO!C33</f>
        <v/>
      </c>
      <c r="D33">
        <f>IF(INVENTARIO!D33="","",INVENTARIO!D33)</f>
        <v/>
      </c>
      <c r="E33">
        <f>IF(D33="","",MAX(0,C33-D33))</f>
        <v/>
      </c>
      <c r="F33">
        <f>IF(D33="","PENDIENTE",IF(D33&lt;C33,"REPOSICIÓN","OK"))</f>
        <v/>
      </c>
      <c r="G33">
        <f>INVENTARIO!F33</f>
        <v/>
      </c>
    </row>
    <row r="34">
      <c r="A34">
        <f>INVENTARIO!A34</f>
        <v/>
      </c>
      <c r="B34">
        <f>INVENTARIO!B34</f>
        <v/>
      </c>
      <c r="C34">
        <f>INVENTARIO!C34</f>
        <v/>
      </c>
      <c r="D34">
        <f>IF(INVENTARIO!D34="","",INVENTARIO!D34)</f>
        <v/>
      </c>
      <c r="E34">
        <f>IF(D34="","",MAX(0,C34-D34))</f>
        <v/>
      </c>
      <c r="F34">
        <f>IF(D34="","PENDIENTE",IF(D34&lt;C34,"REPOSICIÓN","OK"))</f>
        <v/>
      </c>
      <c r="G34">
        <f>INVENTARIO!F34</f>
        <v/>
      </c>
    </row>
    <row r="35">
      <c r="A35">
        <f>INVENTARIO!A35</f>
        <v/>
      </c>
      <c r="B35">
        <f>INVENTARIO!B35</f>
        <v/>
      </c>
      <c r="C35">
        <f>INVENTARIO!C35</f>
        <v/>
      </c>
      <c r="D35">
        <f>IF(INVENTARIO!D35="","",INVENTARIO!D35)</f>
        <v/>
      </c>
      <c r="E35">
        <f>IF(D35="","",MAX(0,C35-D35))</f>
        <v/>
      </c>
      <c r="F35">
        <f>IF(D35="","PENDIENTE",IF(D35&lt;C35,"REPOSICIÓN","OK"))</f>
        <v/>
      </c>
      <c r="G35">
        <f>INVENTARIO!F35</f>
        <v/>
      </c>
    </row>
    <row r="36">
      <c r="A36">
        <f>INVENTARIO!A36</f>
        <v/>
      </c>
      <c r="B36">
        <f>INVENTARIO!B36</f>
        <v/>
      </c>
      <c r="C36">
        <f>INVENTARIO!C36</f>
        <v/>
      </c>
      <c r="D36">
        <f>IF(INVENTARIO!D36="","",INVENTARIO!D36)</f>
        <v/>
      </c>
      <c r="E36">
        <f>IF(D36="","",MAX(0,C36-D36))</f>
        <v/>
      </c>
      <c r="F36">
        <f>IF(D36="","PENDIENTE",IF(D36&lt;C36,"REPOSICIÓN","OK"))</f>
        <v/>
      </c>
      <c r="G36">
        <f>INVENTARIO!F36</f>
        <v/>
      </c>
    </row>
    <row r="37">
      <c r="A37">
        <f>INVENTARIO!A37</f>
        <v/>
      </c>
      <c r="B37">
        <f>INVENTARIO!B37</f>
        <v/>
      </c>
      <c r="C37">
        <f>INVENTARIO!C37</f>
        <v/>
      </c>
      <c r="D37">
        <f>IF(INVENTARIO!D37="","",INVENTARIO!D37)</f>
        <v/>
      </c>
      <c r="E37">
        <f>IF(D37="","",MAX(0,C37-D37))</f>
        <v/>
      </c>
      <c r="F37">
        <f>IF(D37="","PENDIENTE",IF(D37&lt;C37,"REPOSICIÓN","OK"))</f>
        <v/>
      </c>
      <c r="G37">
        <f>INVENTARIO!F37</f>
        <v/>
      </c>
    </row>
    <row r="38">
      <c r="A38">
        <f>INVENTARIO!A38</f>
        <v/>
      </c>
      <c r="B38">
        <f>INVENTARIO!B38</f>
        <v/>
      </c>
      <c r="C38">
        <f>INVENTARIO!C38</f>
        <v/>
      </c>
      <c r="D38">
        <f>IF(INVENTARIO!D38="","",INVENTARIO!D38)</f>
        <v/>
      </c>
      <c r="E38">
        <f>IF(D38="","",MAX(0,C38-D38))</f>
        <v/>
      </c>
      <c r="F38">
        <f>IF(D38="","PENDIENTE",IF(D38&lt;C38,"REPOSICIÓN","OK"))</f>
        <v/>
      </c>
      <c r="G38">
        <f>INVENTARIO!F38</f>
        <v/>
      </c>
    </row>
    <row r="39">
      <c r="A39">
        <f>INVENTARIO!A39</f>
        <v/>
      </c>
      <c r="B39">
        <f>INVENTARIO!B39</f>
        <v/>
      </c>
      <c r="C39">
        <f>INVENTARIO!C39</f>
        <v/>
      </c>
      <c r="D39">
        <f>IF(INVENTARIO!D39="","",INVENTARIO!D39)</f>
        <v/>
      </c>
      <c r="E39">
        <f>IF(D39="","",MAX(0,C39-D39))</f>
        <v/>
      </c>
      <c r="F39">
        <f>IF(D39="","PENDIENTE",IF(D39&lt;C39,"REPOSICIÓN","OK"))</f>
        <v/>
      </c>
      <c r="G39">
        <f>INVENTARIO!F39</f>
        <v/>
      </c>
    </row>
    <row r="40">
      <c r="A40">
        <f>INVENTARIO!A40</f>
        <v/>
      </c>
      <c r="B40">
        <f>INVENTARIO!B40</f>
        <v/>
      </c>
      <c r="C40">
        <f>INVENTARIO!C40</f>
        <v/>
      </c>
      <c r="D40">
        <f>IF(INVENTARIO!D40="","",INVENTARIO!D40)</f>
        <v/>
      </c>
      <c r="E40">
        <f>IF(D40="","",MAX(0,C40-D40))</f>
        <v/>
      </c>
      <c r="F40">
        <f>IF(D40="","PENDIENTE",IF(D40&lt;C40,"REPOSICIÓN","OK"))</f>
        <v/>
      </c>
      <c r="G40">
        <f>INVENTARIO!F40</f>
        <v/>
      </c>
    </row>
    <row r="41">
      <c r="A41">
        <f>INVENTARIO!A41</f>
        <v/>
      </c>
      <c r="B41">
        <f>INVENTARIO!B41</f>
        <v/>
      </c>
      <c r="C41">
        <f>INVENTARIO!C41</f>
        <v/>
      </c>
      <c r="D41">
        <f>IF(INVENTARIO!D41="","",INVENTARIO!D41)</f>
        <v/>
      </c>
      <c r="E41">
        <f>IF(D41="","",MAX(0,C41-D41))</f>
        <v/>
      </c>
      <c r="F41">
        <f>IF(D41="","PENDIENTE",IF(D41&lt;C41,"REPOSICIÓN","OK"))</f>
        <v/>
      </c>
      <c r="G41">
        <f>INVENTARIO!F41</f>
        <v/>
      </c>
    </row>
    <row r="42">
      <c r="A42">
        <f>INVENTARIO!A42</f>
        <v/>
      </c>
      <c r="B42">
        <f>INVENTARIO!B42</f>
        <v/>
      </c>
      <c r="C42">
        <f>INVENTARIO!C42</f>
        <v/>
      </c>
      <c r="D42">
        <f>IF(INVENTARIO!D42="","",INVENTARIO!D42)</f>
        <v/>
      </c>
      <c r="E42">
        <f>IF(D42="","",MAX(0,C42-D42))</f>
        <v/>
      </c>
      <c r="F42">
        <f>IF(D42="","PENDIENTE",IF(D42&lt;C42,"REPOSICIÓN","OK"))</f>
        <v/>
      </c>
      <c r="G42">
        <f>INVENTARIO!F42</f>
        <v/>
      </c>
    </row>
    <row r="43">
      <c r="A43">
        <f>INVENTARIO!A43</f>
        <v/>
      </c>
      <c r="B43">
        <f>INVENTARIO!B43</f>
        <v/>
      </c>
      <c r="C43">
        <f>INVENTARIO!C43</f>
        <v/>
      </c>
      <c r="D43">
        <f>IF(INVENTARIO!D43="","",INVENTARIO!D43)</f>
        <v/>
      </c>
      <c r="E43">
        <f>IF(D43="","",MAX(0,C43-D43))</f>
        <v/>
      </c>
      <c r="F43">
        <f>IF(D43="","PENDIENTE",IF(D43&lt;C43,"REPOSICIÓN","OK"))</f>
        <v/>
      </c>
      <c r="G43">
        <f>INVENTARIO!F43</f>
        <v/>
      </c>
    </row>
    <row r="44">
      <c r="A44">
        <f>INVENTARIO!A44</f>
        <v/>
      </c>
      <c r="B44">
        <f>INVENTARIO!B44</f>
        <v/>
      </c>
      <c r="C44">
        <f>INVENTARIO!C44</f>
        <v/>
      </c>
      <c r="D44">
        <f>IF(INVENTARIO!D44="","",INVENTARIO!D44)</f>
        <v/>
      </c>
      <c r="E44">
        <f>IF(D44="","",MAX(0,C44-D44))</f>
        <v/>
      </c>
      <c r="F44">
        <f>IF(D44="","PENDIENTE",IF(D44&lt;C44,"REPOSICIÓN","OK"))</f>
        <v/>
      </c>
      <c r="G44">
        <f>INVENTARIO!F44</f>
        <v/>
      </c>
    </row>
    <row r="45">
      <c r="A45">
        <f>INVENTARIO!A45</f>
        <v/>
      </c>
      <c r="B45">
        <f>INVENTARIO!B45</f>
        <v/>
      </c>
      <c r="C45">
        <f>INVENTARIO!C45</f>
        <v/>
      </c>
      <c r="D45">
        <f>IF(INVENTARIO!D45="","",INVENTARIO!D45)</f>
        <v/>
      </c>
      <c r="E45">
        <f>IF(D45="","",MAX(0,C45-D45))</f>
        <v/>
      </c>
      <c r="F45">
        <f>IF(D45="","PENDIENTE",IF(D45&lt;C45,"REPOSICIÓN","OK"))</f>
        <v/>
      </c>
      <c r="G45">
        <f>INVENTARIO!F45</f>
        <v/>
      </c>
    </row>
    <row r="46">
      <c r="A46">
        <f>INVENTARIO!A46</f>
        <v/>
      </c>
      <c r="B46">
        <f>INVENTARIO!B46</f>
        <v/>
      </c>
      <c r="C46">
        <f>INVENTARIO!C46</f>
        <v/>
      </c>
      <c r="D46">
        <f>IF(INVENTARIO!D46="","",INVENTARIO!D46)</f>
        <v/>
      </c>
      <c r="E46">
        <f>IF(D46="","",MAX(0,C46-D46))</f>
        <v/>
      </c>
      <c r="F46">
        <f>IF(D46="","PENDIENTE",IF(D46&lt;C46,"REPOSICIÓN","OK"))</f>
        <v/>
      </c>
      <c r="G46">
        <f>INVENTARIO!F46</f>
        <v/>
      </c>
    </row>
    <row r="47">
      <c r="A47">
        <f>INVENTARIO!A47</f>
        <v/>
      </c>
      <c r="B47">
        <f>INVENTARIO!B47</f>
        <v/>
      </c>
      <c r="C47">
        <f>INVENTARIO!C47</f>
        <v/>
      </c>
      <c r="D47">
        <f>IF(INVENTARIO!D47="","",INVENTARIO!D47)</f>
        <v/>
      </c>
      <c r="E47">
        <f>IF(D47="","",MAX(0,C47-D47))</f>
        <v/>
      </c>
      <c r="F47">
        <f>IF(D47="","PENDIENTE",IF(D47&lt;C47,"REPOSICIÓN","OK"))</f>
        <v/>
      </c>
      <c r="G47">
        <f>INVENTARIO!F47</f>
        <v/>
      </c>
    </row>
    <row r="48">
      <c r="A48">
        <f>INVENTARIO!A48</f>
        <v/>
      </c>
      <c r="B48">
        <f>INVENTARIO!B48</f>
        <v/>
      </c>
      <c r="C48">
        <f>INVENTARIO!C48</f>
        <v/>
      </c>
      <c r="D48">
        <f>IF(INVENTARIO!D48="","",INVENTARIO!D48)</f>
        <v/>
      </c>
      <c r="E48">
        <f>IF(D48="","",MAX(0,C48-D48))</f>
        <v/>
      </c>
      <c r="F48">
        <f>IF(D48="","PENDIENTE",IF(D48&lt;C48,"REPOSICIÓN","OK"))</f>
        <v/>
      </c>
      <c r="G48">
        <f>INVENTARIO!F48</f>
        <v/>
      </c>
    </row>
    <row r="49">
      <c r="A49">
        <f>INVENTARIO!A49</f>
        <v/>
      </c>
      <c r="B49">
        <f>INVENTARIO!B49</f>
        <v/>
      </c>
      <c r="C49">
        <f>INVENTARIO!C49</f>
        <v/>
      </c>
      <c r="D49">
        <f>IF(INVENTARIO!D49="","",INVENTARIO!D49)</f>
        <v/>
      </c>
      <c r="E49">
        <f>IF(D49="","",MAX(0,C49-D49))</f>
        <v/>
      </c>
      <c r="F49">
        <f>IF(D49="","PENDIENTE",IF(D49&lt;C49,"REPOSICIÓN","OK"))</f>
        <v/>
      </c>
      <c r="G49">
        <f>INVENTARIO!F49</f>
        <v/>
      </c>
    </row>
    <row r="50">
      <c r="A50">
        <f>INVENTARIO!A50</f>
        <v/>
      </c>
      <c r="B50">
        <f>INVENTARIO!B50</f>
        <v/>
      </c>
      <c r="C50">
        <f>INVENTARIO!C50</f>
        <v/>
      </c>
      <c r="D50">
        <f>IF(INVENTARIO!D50="","",INVENTARIO!D50)</f>
        <v/>
      </c>
      <c r="E50">
        <f>IF(D50="","",MAX(0,C50-D50))</f>
        <v/>
      </c>
      <c r="F50">
        <f>IF(D50="","PENDIENTE",IF(D50&lt;C50,"REPOSICIÓN","OK"))</f>
        <v/>
      </c>
      <c r="G50">
        <f>INVENTARIO!F50</f>
        <v/>
      </c>
    </row>
    <row r="51">
      <c r="A51">
        <f>INVENTARIO!A51</f>
        <v/>
      </c>
      <c r="B51">
        <f>INVENTARIO!B51</f>
        <v/>
      </c>
      <c r="C51">
        <f>INVENTARIO!C51</f>
        <v/>
      </c>
      <c r="D51">
        <f>IF(INVENTARIO!D51="","",INVENTARIO!D51)</f>
        <v/>
      </c>
      <c r="E51">
        <f>IF(D51="","",MAX(0,C51-D51))</f>
        <v/>
      </c>
      <c r="F51">
        <f>IF(D51="","PENDIENTE",IF(D51&lt;C51,"REPOSICIÓN","OK"))</f>
        <v/>
      </c>
      <c r="G51">
        <f>INVENTARIO!F51</f>
        <v/>
      </c>
    </row>
    <row r="52">
      <c r="A52">
        <f>INVENTARIO!A52</f>
        <v/>
      </c>
      <c r="B52">
        <f>INVENTARIO!B52</f>
        <v/>
      </c>
      <c r="C52">
        <f>INVENTARIO!C52</f>
        <v/>
      </c>
      <c r="D52">
        <f>IF(INVENTARIO!D52="","",INVENTARIO!D52)</f>
        <v/>
      </c>
      <c r="E52">
        <f>IF(D52="","",MAX(0,C52-D52))</f>
        <v/>
      </c>
      <c r="F52">
        <f>IF(D52="","PENDIENTE",IF(D52&lt;C52,"REPOSICIÓN","OK"))</f>
        <v/>
      </c>
      <c r="G52">
        <f>INVENTARIO!F52</f>
        <v/>
      </c>
    </row>
    <row r="53">
      <c r="A53">
        <f>INVENTARIO!A53</f>
        <v/>
      </c>
      <c r="B53">
        <f>INVENTARIO!B53</f>
        <v/>
      </c>
      <c r="C53">
        <f>INVENTARIO!C53</f>
        <v/>
      </c>
      <c r="D53">
        <f>IF(INVENTARIO!D53="","",INVENTARIO!D53)</f>
        <v/>
      </c>
      <c r="E53">
        <f>IF(D53="","",MAX(0,C53-D53))</f>
        <v/>
      </c>
      <c r="F53">
        <f>IF(D53="","PENDIENTE",IF(D53&lt;C53,"REPOSICIÓN","OK"))</f>
        <v/>
      </c>
      <c r="G53">
        <f>INVENTARIO!F53</f>
        <v/>
      </c>
    </row>
    <row r="54">
      <c r="A54">
        <f>INVENTARIO!A54</f>
        <v/>
      </c>
      <c r="B54">
        <f>INVENTARIO!B54</f>
        <v/>
      </c>
      <c r="C54">
        <f>INVENTARIO!C54</f>
        <v/>
      </c>
      <c r="D54">
        <f>IF(INVENTARIO!D54="","",INVENTARIO!D54)</f>
        <v/>
      </c>
      <c r="E54">
        <f>IF(D54="","",MAX(0,C54-D54))</f>
        <v/>
      </c>
      <c r="F54">
        <f>IF(D54="","PENDIENTE",IF(D54&lt;C54,"REPOSICIÓN","OK"))</f>
        <v/>
      </c>
      <c r="G54">
        <f>INVENTARIO!F54</f>
        <v/>
      </c>
    </row>
    <row r="55">
      <c r="A55">
        <f>INVENTARIO!A55</f>
        <v/>
      </c>
      <c r="B55">
        <f>INVENTARIO!B55</f>
        <v/>
      </c>
      <c r="C55">
        <f>INVENTARIO!C55</f>
        <v/>
      </c>
      <c r="D55">
        <f>IF(INVENTARIO!D55="","",INVENTARIO!D55)</f>
        <v/>
      </c>
      <c r="E55">
        <f>IF(D55="","",MAX(0,C55-D55))</f>
        <v/>
      </c>
      <c r="F55">
        <f>IF(D55="","PENDIENTE",IF(D55&lt;C55,"REPOSICIÓN","OK"))</f>
        <v/>
      </c>
      <c r="G55">
        <f>INVENTARIO!F55</f>
        <v/>
      </c>
    </row>
    <row r="56">
      <c r="A56">
        <f>INVENTARIO!A56</f>
        <v/>
      </c>
      <c r="B56">
        <f>INVENTARIO!B56</f>
        <v/>
      </c>
      <c r="C56">
        <f>INVENTARIO!C56</f>
        <v/>
      </c>
      <c r="D56">
        <f>IF(INVENTARIO!D56="","",INVENTARIO!D56)</f>
        <v/>
      </c>
      <c r="E56">
        <f>IF(D56="","",MAX(0,C56-D56))</f>
        <v/>
      </c>
      <c r="F56">
        <f>IF(D56="","PENDIENTE",IF(D56&lt;C56,"REPOSICIÓN","OK"))</f>
        <v/>
      </c>
      <c r="G56">
        <f>INVENTARIO!F56</f>
        <v/>
      </c>
    </row>
    <row r="57">
      <c r="A57">
        <f>INVENTARIO!A57</f>
        <v/>
      </c>
      <c r="B57">
        <f>INVENTARIO!B57</f>
        <v/>
      </c>
      <c r="C57">
        <f>INVENTARIO!C57</f>
        <v/>
      </c>
      <c r="D57">
        <f>IF(INVENTARIO!D57="","",INVENTARIO!D57)</f>
        <v/>
      </c>
      <c r="E57">
        <f>IF(D57="","",MAX(0,C57-D57))</f>
        <v/>
      </c>
      <c r="F57">
        <f>IF(D57="","PENDIENTE",IF(D57&lt;C57,"REPOSICIÓN","OK"))</f>
        <v/>
      </c>
      <c r="G57">
        <f>INVENTARIO!F57</f>
        <v/>
      </c>
    </row>
    <row r="58">
      <c r="A58">
        <f>INVENTARIO!A58</f>
        <v/>
      </c>
      <c r="B58">
        <f>INVENTARIO!B58</f>
        <v/>
      </c>
      <c r="C58">
        <f>INVENTARIO!C58</f>
        <v/>
      </c>
      <c r="D58">
        <f>IF(INVENTARIO!D58="","",INVENTARIO!D58)</f>
        <v/>
      </c>
      <c r="E58">
        <f>IF(D58="","",MAX(0,C58-D58))</f>
        <v/>
      </c>
      <c r="F58">
        <f>IF(D58="","PENDIENTE",IF(D58&lt;C58,"REPOSICIÓN","OK"))</f>
        <v/>
      </c>
      <c r="G58">
        <f>INVENTARIO!F58</f>
        <v/>
      </c>
    </row>
    <row r="59">
      <c r="A59">
        <f>INVENTARIO!A59</f>
        <v/>
      </c>
      <c r="B59">
        <f>INVENTARIO!B59</f>
        <v/>
      </c>
      <c r="C59">
        <f>INVENTARIO!C59</f>
        <v/>
      </c>
      <c r="D59">
        <f>IF(INVENTARIO!D59="","",INVENTARIO!D59)</f>
        <v/>
      </c>
      <c r="E59">
        <f>IF(D59="","",MAX(0,C59-D59))</f>
        <v/>
      </c>
      <c r="F59">
        <f>IF(D59="","PENDIENTE",IF(D59&lt;C59,"REPOSICIÓN","OK"))</f>
        <v/>
      </c>
      <c r="G59">
        <f>INVENTARIO!F59</f>
        <v/>
      </c>
    </row>
    <row r="60">
      <c r="A60">
        <f>INVENTARIO!A60</f>
        <v/>
      </c>
      <c r="B60">
        <f>INVENTARIO!B60</f>
        <v/>
      </c>
      <c r="C60">
        <f>INVENTARIO!C60</f>
        <v/>
      </c>
      <c r="D60">
        <f>IF(INVENTARIO!D60="","",INVENTARIO!D60)</f>
        <v/>
      </c>
      <c r="E60">
        <f>IF(D60="","",MAX(0,C60-D60))</f>
        <v/>
      </c>
      <c r="F60">
        <f>IF(D60="","PENDIENTE",IF(D60&lt;C60,"REPOSICIÓN","OK"))</f>
        <v/>
      </c>
      <c r="G60">
        <f>INVENTARIO!F60</f>
        <v/>
      </c>
    </row>
    <row r="61">
      <c r="A61">
        <f>INVENTARIO!A61</f>
        <v/>
      </c>
      <c r="B61">
        <f>INVENTARIO!B61</f>
        <v/>
      </c>
      <c r="C61">
        <f>INVENTARIO!C61</f>
        <v/>
      </c>
      <c r="D61">
        <f>IF(INVENTARIO!D61="","",INVENTARIO!D61)</f>
        <v/>
      </c>
      <c r="E61">
        <f>IF(D61="","",MAX(0,C61-D61))</f>
        <v/>
      </c>
      <c r="F61">
        <f>IF(D61="","PENDIENTE",IF(D61&lt;C61,"REPOSICIÓN","OK"))</f>
        <v/>
      </c>
      <c r="G61">
        <f>INVENTARIO!F61</f>
        <v/>
      </c>
    </row>
    <row r="62">
      <c r="A62">
        <f>INVENTARIO!A62</f>
        <v/>
      </c>
      <c r="B62">
        <f>INVENTARIO!B62</f>
        <v/>
      </c>
      <c r="C62">
        <f>INVENTARIO!C62</f>
        <v/>
      </c>
      <c r="D62">
        <f>IF(INVENTARIO!D62="","",INVENTARIO!D62)</f>
        <v/>
      </c>
      <c r="E62">
        <f>IF(D62="","",MAX(0,C62-D62))</f>
        <v/>
      </c>
      <c r="F62">
        <f>IF(D62="","PENDIENTE",IF(D62&lt;C62,"REPOSICIÓN","OK"))</f>
        <v/>
      </c>
      <c r="G62">
        <f>INVENTARIO!F62</f>
        <v/>
      </c>
    </row>
    <row r="63">
      <c r="A63">
        <f>INVENTARIO!A63</f>
        <v/>
      </c>
      <c r="B63">
        <f>INVENTARIO!B63</f>
        <v/>
      </c>
      <c r="C63">
        <f>INVENTARIO!C63</f>
        <v/>
      </c>
      <c r="D63">
        <f>IF(INVENTARIO!D63="","",INVENTARIO!D63)</f>
        <v/>
      </c>
      <c r="E63">
        <f>IF(D63="","",MAX(0,C63-D63))</f>
        <v/>
      </c>
      <c r="F63">
        <f>IF(D63="","PENDIENTE",IF(D63&lt;C63,"REPOSICIÓN","OK"))</f>
        <v/>
      </c>
      <c r="G63">
        <f>INVENTARIO!F63</f>
        <v/>
      </c>
    </row>
    <row r="64">
      <c r="A64">
        <f>INVENTARIO!A64</f>
        <v/>
      </c>
      <c r="B64">
        <f>INVENTARIO!B64</f>
        <v/>
      </c>
      <c r="C64">
        <f>INVENTARIO!C64</f>
        <v/>
      </c>
      <c r="D64">
        <f>IF(INVENTARIO!D64="","",INVENTARIO!D64)</f>
        <v/>
      </c>
      <c r="E64">
        <f>IF(D64="","",MAX(0,C64-D64))</f>
        <v/>
      </c>
      <c r="F64">
        <f>IF(D64="","PENDIENTE",IF(D64&lt;C64,"REPOSICIÓN","OK"))</f>
        <v/>
      </c>
      <c r="G64">
        <f>INVENTARIO!F64</f>
        <v/>
      </c>
    </row>
    <row r="65">
      <c r="A65">
        <f>INVENTARIO!A65</f>
        <v/>
      </c>
      <c r="B65">
        <f>INVENTARIO!B65</f>
        <v/>
      </c>
      <c r="C65">
        <f>INVENTARIO!C65</f>
        <v/>
      </c>
      <c r="D65">
        <f>IF(INVENTARIO!D65="","",INVENTARIO!D65)</f>
        <v/>
      </c>
      <c r="E65">
        <f>IF(D65="","",MAX(0,C65-D65))</f>
        <v/>
      </c>
      <c r="F65">
        <f>IF(D65="","PENDIENTE",IF(D65&lt;C65,"REPOSICIÓN","OK"))</f>
        <v/>
      </c>
      <c r="G65">
        <f>INVENTARIO!F65</f>
        <v/>
      </c>
    </row>
    <row r="66">
      <c r="A66">
        <f>INVENTARIO!A66</f>
        <v/>
      </c>
      <c r="B66">
        <f>INVENTARIO!B66</f>
        <v/>
      </c>
      <c r="C66">
        <f>INVENTARIO!C66</f>
        <v/>
      </c>
      <c r="D66">
        <f>IF(INVENTARIO!D66="","",INVENTARIO!D66)</f>
        <v/>
      </c>
      <c r="E66">
        <f>IF(D66="","",MAX(0,C66-D66))</f>
        <v/>
      </c>
      <c r="F66">
        <f>IF(D66="","PENDIENTE",IF(D66&lt;C66,"REPOSICIÓN","OK"))</f>
        <v/>
      </c>
      <c r="G66">
        <f>INVENTARIO!F66</f>
        <v/>
      </c>
    </row>
    <row r="67">
      <c r="A67">
        <f>INVENTARIO!A67</f>
        <v/>
      </c>
      <c r="B67">
        <f>INVENTARIO!B67</f>
        <v/>
      </c>
      <c r="C67">
        <f>INVENTARIO!C67</f>
        <v/>
      </c>
      <c r="D67">
        <f>IF(INVENTARIO!D67="","",INVENTARIO!D67)</f>
        <v/>
      </c>
      <c r="E67">
        <f>IF(D67="","",MAX(0,C67-D67))</f>
        <v/>
      </c>
      <c r="F67">
        <f>IF(D67="","PENDIENTE",IF(D67&lt;C67,"REPOSICIÓN","OK"))</f>
        <v/>
      </c>
      <c r="G67">
        <f>INVENTARIO!F67</f>
        <v/>
      </c>
    </row>
    <row r="68">
      <c r="A68">
        <f>INVENTARIO!A68</f>
        <v/>
      </c>
      <c r="B68">
        <f>INVENTARIO!B68</f>
        <v/>
      </c>
      <c r="C68">
        <f>INVENTARIO!C68</f>
        <v/>
      </c>
      <c r="D68">
        <f>IF(INVENTARIO!D68="","",INVENTARIO!D68)</f>
        <v/>
      </c>
      <c r="E68">
        <f>IF(D68="","",MAX(0,C68-D68))</f>
        <v/>
      </c>
      <c r="F68">
        <f>IF(D68="","PENDIENTE",IF(D68&lt;C68,"REPOSICIÓN","OK"))</f>
        <v/>
      </c>
      <c r="G68">
        <f>INVENTARIO!F68</f>
        <v/>
      </c>
    </row>
    <row r="69">
      <c r="A69">
        <f>INVENTARIO!A69</f>
        <v/>
      </c>
      <c r="B69">
        <f>INVENTARIO!B69</f>
        <v/>
      </c>
      <c r="C69">
        <f>INVENTARIO!C69</f>
        <v/>
      </c>
      <c r="D69">
        <f>IF(INVENTARIO!D69="","",INVENTARIO!D69)</f>
        <v/>
      </c>
      <c r="E69">
        <f>IF(D69="","",MAX(0,C69-D69))</f>
        <v/>
      </c>
      <c r="F69">
        <f>IF(D69="","PENDIENTE",IF(D69&lt;C69,"REPOSICIÓN","OK"))</f>
        <v/>
      </c>
      <c r="G69">
        <f>INVENTARIO!F69</f>
        <v/>
      </c>
    </row>
    <row r="70">
      <c r="A70">
        <f>INVENTARIO!A70</f>
        <v/>
      </c>
      <c r="B70">
        <f>INVENTARIO!B70</f>
        <v/>
      </c>
      <c r="C70">
        <f>INVENTARIO!C70</f>
        <v/>
      </c>
      <c r="D70">
        <f>IF(INVENTARIO!D70="","",INVENTARIO!D70)</f>
        <v/>
      </c>
      <c r="E70">
        <f>IF(D70="","",MAX(0,C70-D70))</f>
        <v/>
      </c>
      <c r="F70">
        <f>IF(D70="","PENDIENTE",IF(D70&lt;C70,"REPOSICIÓN","OK"))</f>
        <v/>
      </c>
      <c r="G70">
        <f>INVENTARIO!F70</f>
        <v/>
      </c>
    </row>
    <row r="71">
      <c r="A71">
        <f>INVENTARIO!A71</f>
        <v/>
      </c>
      <c r="B71">
        <f>INVENTARIO!B71</f>
        <v/>
      </c>
      <c r="C71">
        <f>INVENTARIO!C71</f>
        <v/>
      </c>
      <c r="D71">
        <f>IF(INVENTARIO!D71="","",INVENTARIO!D71)</f>
        <v/>
      </c>
      <c r="E71">
        <f>IF(D71="","",MAX(0,C71-D71))</f>
        <v/>
      </c>
      <c r="F71">
        <f>IF(D71="","PENDIENTE",IF(D71&lt;C71,"REPOSICIÓN","OK"))</f>
        <v/>
      </c>
      <c r="G71">
        <f>INVENTARIO!F71</f>
        <v/>
      </c>
    </row>
    <row r="72">
      <c r="A72">
        <f>INVENTARIO!A72</f>
        <v/>
      </c>
      <c r="B72">
        <f>INVENTARIO!B72</f>
        <v/>
      </c>
      <c r="C72">
        <f>INVENTARIO!C72</f>
        <v/>
      </c>
      <c r="D72">
        <f>IF(INVENTARIO!D72="","",INVENTARIO!D72)</f>
        <v/>
      </c>
      <c r="E72">
        <f>IF(D72="","",MAX(0,C72-D72))</f>
        <v/>
      </c>
      <c r="F72">
        <f>IF(D72="","PENDIENTE",IF(D72&lt;C72,"REPOSICIÓN","OK"))</f>
        <v/>
      </c>
      <c r="G72">
        <f>INVENTARIO!F72</f>
        <v/>
      </c>
    </row>
    <row r="73">
      <c r="A73">
        <f>INVENTARIO!A73</f>
        <v/>
      </c>
      <c r="B73">
        <f>INVENTARIO!B73</f>
        <v/>
      </c>
      <c r="C73">
        <f>INVENTARIO!C73</f>
        <v/>
      </c>
      <c r="D73">
        <f>IF(INVENTARIO!D73="","",INVENTARIO!D73)</f>
        <v/>
      </c>
      <c r="E73">
        <f>IF(D73="","",MAX(0,C73-D73))</f>
        <v/>
      </c>
      <c r="F73">
        <f>IF(D73="","PENDIENTE",IF(D73&lt;C73,"REPOSICIÓN","OK"))</f>
        <v/>
      </c>
      <c r="G73">
        <f>INVENTARIO!F73</f>
        <v/>
      </c>
    </row>
    <row r="74">
      <c r="A74">
        <f>INVENTARIO!A74</f>
        <v/>
      </c>
      <c r="B74">
        <f>INVENTARIO!B74</f>
        <v/>
      </c>
      <c r="C74">
        <f>INVENTARIO!C74</f>
        <v/>
      </c>
      <c r="D74">
        <f>IF(INVENTARIO!D74="","",INVENTARIO!D74)</f>
        <v/>
      </c>
      <c r="E74">
        <f>IF(D74="","",MAX(0,C74-D74))</f>
        <v/>
      </c>
      <c r="F74">
        <f>IF(D74="","PENDIENTE",IF(D74&lt;C74,"REPOSICIÓN","OK"))</f>
        <v/>
      </c>
      <c r="G74">
        <f>INVENTARIO!F74</f>
        <v/>
      </c>
    </row>
    <row r="75">
      <c r="A75">
        <f>INVENTARIO!A75</f>
        <v/>
      </c>
      <c r="B75">
        <f>INVENTARIO!B75</f>
        <v/>
      </c>
      <c r="C75">
        <f>INVENTARIO!C75</f>
        <v/>
      </c>
      <c r="D75">
        <f>IF(INVENTARIO!D75="","",INVENTARIO!D75)</f>
        <v/>
      </c>
      <c r="E75">
        <f>IF(D75="","",MAX(0,C75-D75))</f>
        <v/>
      </c>
      <c r="F75">
        <f>IF(D75="","PENDIENTE",IF(D75&lt;C75,"REPOSICIÓN","OK"))</f>
        <v/>
      </c>
      <c r="G75">
        <f>INVENTARIO!F75</f>
        <v/>
      </c>
    </row>
    <row r="76">
      <c r="A76">
        <f>INVENTARIO!A76</f>
        <v/>
      </c>
      <c r="B76">
        <f>INVENTARIO!B76</f>
        <v/>
      </c>
      <c r="C76">
        <f>INVENTARIO!C76</f>
        <v/>
      </c>
      <c r="D76">
        <f>IF(INVENTARIO!D76="","",INVENTARIO!D76)</f>
        <v/>
      </c>
      <c r="E76">
        <f>IF(D76="","",MAX(0,C76-D76))</f>
        <v/>
      </c>
      <c r="F76">
        <f>IF(D76="","PENDIENTE",IF(D76&lt;C76,"REPOSICIÓN","OK"))</f>
        <v/>
      </c>
      <c r="G76">
        <f>INVENTARIO!F76</f>
        <v/>
      </c>
    </row>
    <row r="77">
      <c r="A77">
        <f>INVENTARIO!A77</f>
        <v/>
      </c>
      <c r="B77">
        <f>INVENTARIO!B77</f>
        <v/>
      </c>
      <c r="C77">
        <f>INVENTARIO!C77</f>
        <v/>
      </c>
      <c r="D77">
        <f>IF(INVENTARIO!D77="","",INVENTARIO!D77)</f>
        <v/>
      </c>
      <c r="E77">
        <f>IF(D77="","",MAX(0,C77-D77))</f>
        <v/>
      </c>
      <c r="F77">
        <f>IF(D77="","PENDIENTE",IF(D77&lt;C77,"REPOSICIÓN","OK"))</f>
        <v/>
      </c>
      <c r="G77">
        <f>INVENTARIO!F77</f>
        <v/>
      </c>
    </row>
    <row r="78">
      <c r="A78">
        <f>INVENTARIO!A78</f>
        <v/>
      </c>
      <c r="B78">
        <f>INVENTARIO!B78</f>
        <v/>
      </c>
      <c r="C78">
        <f>INVENTARIO!C78</f>
        <v/>
      </c>
      <c r="D78">
        <f>IF(INVENTARIO!D78="","",INVENTARIO!D78)</f>
        <v/>
      </c>
      <c r="E78">
        <f>IF(D78="","",MAX(0,C78-D78))</f>
        <v/>
      </c>
      <c r="F78">
        <f>IF(D78="","PENDIENTE",IF(D78&lt;C78,"REPOSICIÓN","OK"))</f>
        <v/>
      </c>
      <c r="G78">
        <f>INVENTARIO!F78</f>
        <v/>
      </c>
    </row>
    <row r="79">
      <c r="A79">
        <f>INVENTARIO!A79</f>
        <v/>
      </c>
      <c r="B79">
        <f>INVENTARIO!B79</f>
        <v/>
      </c>
      <c r="C79">
        <f>INVENTARIO!C79</f>
        <v/>
      </c>
      <c r="D79">
        <f>IF(INVENTARIO!D79="","",INVENTARIO!D79)</f>
        <v/>
      </c>
      <c r="E79">
        <f>IF(D79="","",MAX(0,C79-D79))</f>
        <v/>
      </c>
      <c r="F79">
        <f>IF(D79="","PENDIENTE",IF(D79&lt;C79,"REPOSICIÓN","OK"))</f>
        <v/>
      </c>
      <c r="G79">
        <f>INVENTARIO!F79</f>
        <v/>
      </c>
    </row>
    <row r="80">
      <c r="A80">
        <f>INVENTARIO!A80</f>
        <v/>
      </c>
      <c r="B80">
        <f>INVENTARIO!B80</f>
        <v/>
      </c>
      <c r="C80">
        <f>INVENTARIO!C80</f>
        <v/>
      </c>
      <c r="D80">
        <f>IF(INVENTARIO!D80="","",INVENTARIO!D80)</f>
        <v/>
      </c>
      <c r="E80">
        <f>IF(D80="","",MAX(0,C80-D80))</f>
        <v/>
      </c>
      <c r="F80">
        <f>IF(D80="","PENDIENTE",IF(D80&lt;C80,"REPOSICIÓN","OK"))</f>
        <v/>
      </c>
      <c r="G80">
        <f>INVENTARIO!F80</f>
        <v/>
      </c>
    </row>
    <row r="81">
      <c r="A81">
        <f>INVENTARIO!A81</f>
        <v/>
      </c>
      <c r="B81">
        <f>INVENTARIO!B81</f>
        <v/>
      </c>
      <c r="C81">
        <f>INVENTARIO!C81</f>
        <v/>
      </c>
      <c r="D81">
        <f>IF(INVENTARIO!D81="","",INVENTARIO!D81)</f>
        <v/>
      </c>
      <c r="E81">
        <f>IF(D81="","",MAX(0,C81-D81))</f>
        <v/>
      </c>
      <c r="F81">
        <f>IF(D81="","PENDIENTE",IF(D81&lt;C81,"REPOSICIÓN","OK"))</f>
        <v/>
      </c>
      <c r="G81">
        <f>INVENTARIO!F81</f>
        <v/>
      </c>
    </row>
    <row r="82">
      <c r="A82">
        <f>INVENTARIO!A82</f>
        <v/>
      </c>
      <c r="B82">
        <f>INVENTARIO!B82</f>
        <v/>
      </c>
      <c r="C82">
        <f>INVENTARIO!C82</f>
        <v/>
      </c>
      <c r="D82">
        <f>IF(INVENTARIO!D82="","",INVENTARIO!D82)</f>
        <v/>
      </c>
      <c r="E82">
        <f>IF(D82="","",MAX(0,C82-D82))</f>
        <v/>
      </c>
      <c r="F82">
        <f>IF(D82="","PENDIENTE",IF(D82&lt;C82,"REPOSICIÓN","OK"))</f>
        <v/>
      </c>
      <c r="G82">
        <f>INVENTARIO!F82</f>
        <v/>
      </c>
    </row>
    <row r="83">
      <c r="A83">
        <f>INVENTARIO!A83</f>
        <v/>
      </c>
      <c r="B83">
        <f>INVENTARIO!B83</f>
        <v/>
      </c>
      <c r="C83">
        <f>INVENTARIO!C83</f>
        <v/>
      </c>
      <c r="D83">
        <f>IF(INVENTARIO!D83="","",INVENTARIO!D83)</f>
        <v/>
      </c>
      <c r="E83">
        <f>IF(D83="","",MAX(0,C83-D83))</f>
        <v/>
      </c>
      <c r="F83">
        <f>IF(D83="","PENDIENTE",IF(D83&lt;C83,"REPOSICIÓN","OK"))</f>
        <v/>
      </c>
      <c r="G83">
        <f>INVENTARIO!F83</f>
        <v/>
      </c>
    </row>
    <row r="84">
      <c r="A84">
        <f>INVENTARIO!A84</f>
        <v/>
      </c>
      <c r="B84">
        <f>INVENTARIO!B84</f>
        <v/>
      </c>
      <c r="C84">
        <f>INVENTARIO!C84</f>
        <v/>
      </c>
      <c r="D84">
        <f>IF(INVENTARIO!D84="","",INVENTARIO!D84)</f>
        <v/>
      </c>
      <c r="E84">
        <f>IF(D84="","",MAX(0,C84-D84))</f>
        <v/>
      </c>
      <c r="F84">
        <f>IF(D84="","PENDIENTE",IF(D84&lt;C84,"REPOSICIÓN","OK"))</f>
        <v/>
      </c>
      <c r="G84">
        <f>INVENTARIO!F84</f>
        <v/>
      </c>
    </row>
    <row r="85">
      <c r="A85">
        <f>INVENTARIO!A85</f>
        <v/>
      </c>
      <c r="B85">
        <f>INVENTARIO!B85</f>
        <v/>
      </c>
      <c r="C85">
        <f>INVENTARIO!C85</f>
        <v/>
      </c>
      <c r="D85">
        <f>IF(INVENTARIO!D85="","",INVENTARIO!D85)</f>
        <v/>
      </c>
      <c r="E85">
        <f>IF(D85="","",MAX(0,C85-D85))</f>
        <v/>
      </c>
      <c r="F85">
        <f>IF(D85="","PENDIENTE",IF(D85&lt;C85,"REPOSICIÓN","OK"))</f>
        <v/>
      </c>
      <c r="G85">
        <f>INVENTARIO!F85</f>
        <v/>
      </c>
    </row>
    <row r="86">
      <c r="A86">
        <f>INVENTARIO!A86</f>
        <v/>
      </c>
      <c r="B86">
        <f>INVENTARIO!B86</f>
        <v/>
      </c>
      <c r="C86">
        <f>INVENTARIO!C86</f>
        <v/>
      </c>
      <c r="D86">
        <f>IF(INVENTARIO!D86="","",INVENTARIO!D86)</f>
        <v/>
      </c>
      <c r="E86">
        <f>IF(D86="","",MAX(0,C86-D86))</f>
        <v/>
      </c>
      <c r="F86">
        <f>IF(D86="","PENDIENTE",IF(D86&lt;C86,"REPOSICIÓN","OK"))</f>
        <v/>
      </c>
      <c r="G86">
        <f>INVENTARIO!F86</f>
        <v/>
      </c>
    </row>
    <row r="87">
      <c r="A87">
        <f>INVENTARIO!A87</f>
        <v/>
      </c>
      <c r="B87">
        <f>INVENTARIO!B87</f>
        <v/>
      </c>
      <c r="C87">
        <f>INVENTARIO!C87</f>
        <v/>
      </c>
      <c r="D87">
        <f>IF(INVENTARIO!D87="","",INVENTARIO!D87)</f>
        <v/>
      </c>
      <c r="E87">
        <f>IF(D87="","",MAX(0,C87-D87))</f>
        <v/>
      </c>
      <c r="F87">
        <f>IF(D87="","PENDIENTE",IF(D87&lt;C87,"REPOSICIÓN","OK"))</f>
        <v/>
      </c>
      <c r="G87">
        <f>INVENTARIO!F87</f>
        <v/>
      </c>
    </row>
    <row r="88">
      <c r="A88">
        <f>INVENTARIO!A88</f>
        <v/>
      </c>
      <c r="B88">
        <f>INVENTARIO!B88</f>
        <v/>
      </c>
      <c r="C88">
        <f>INVENTARIO!C88</f>
        <v/>
      </c>
      <c r="D88">
        <f>IF(INVENTARIO!D88="","",INVENTARIO!D88)</f>
        <v/>
      </c>
      <c r="E88">
        <f>IF(D88="","",MAX(0,C88-D88))</f>
        <v/>
      </c>
      <c r="F88">
        <f>IF(D88="","PENDIENTE",IF(D88&lt;C88,"REPOSICIÓN","OK"))</f>
        <v/>
      </c>
      <c r="G88">
        <f>INVENTARIO!F88</f>
        <v/>
      </c>
    </row>
    <row r="89">
      <c r="A89">
        <f>INVENTARIO!A89</f>
        <v/>
      </c>
      <c r="B89">
        <f>INVENTARIO!B89</f>
        <v/>
      </c>
      <c r="C89">
        <f>INVENTARIO!C89</f>
        <v/>
      </c>
      <c r="D89">
        <f>IF(INVENTARIO!D89="","",INVENTARIO!D89)</f>
        <v/>
      </c>
      <c r="E89">
        <f>IF(D89="","",MAX(0,C89-D89))</f>
        <v/>
      </c>
      <c r="F89">
        <f>IF(D89="","PENDIENTE",IF(D89&lt;C89,"REPOSICIÓN","OK"))</f>
        <v/>
      </c>
      <c r="G89">
        <f>INVENTARIO!F89</f>
        <v/>
      </c>
    </row>
    <row r="90">
      <c r="A90">
        <f>INVENTARIO!A90</f>
        <v/>
      </c>
      <c r="B90">
        <f>INVENTARIO!B90</f>
        <v/>
      </c>
      <c r="C90">
        <f>INVENTARIO!C90</f>
        <v/>
      </c>
      <c r="D90">
        <f>IF(INVENTARIO!D90="","",INVENTARIO!D90)</f>
        <v/>
      </c>
      <c r="E90">
        <f>IF(D90="","",MAX(0,C90-D90))</f>
        <v/>
      </c>
      <c r="F90">
        <f>IF(D90="","PENDIENTE",IF(D90&lt;C90,"REPOSICIÓN","OK"))</f>
        <v/>
      </c>
      <c r="G90">
        <f>INVENTARIO!F90</f>
        <v/>
      </c>
    </row>
    <row r="91">
      <c r="A91">
        <f>INVENTARIO!A91</f>
        <v/>
      </c>
      <c r="B91">
        <f>INVENTARIO!B91</f>
        <v/>
      </c>
      <c r="C91">
        <f>INVENTARIO!C91</f>
        <v/>
      </c>
      <c r="D91">
        <f>IF(INVENTARIO!D91="","",INVENTARIO!D91)</f>
        <v/>
      </c>
      <c r="E91">
        <f>IF(D91="","",MAX(0,C91-D91))</f>
        <v/>
      </c>
      <c r="F91">
        <f>IF(D91="","PENDIENTE",IF(D91&lt;C91,"REPOSICIÓN","OK"))</f>
        <v/>
      </c>
      <c r="G91">
        <f>INVENTARIO!F91</f>
        <v/>
      </c>
    </row>
    <row r="92">
      <c r="A92">
        <f>INVENTARIO!A92</f>
        <v/>
      </c>
      <c r="B92">
        <f>INVENTARIO!B92</f>
        <v/>
      </c>
      <c r="C92">
        <f>INVENTARIO!C92</f>
        <v/>
      </c>
      <c r="D92">
        <f>IF(INVENTARIO!D92="","",INVENTARIO!D92)</f>
        <v/>
      </c>
      <c r="E92">
        <f>IF(D92="","",MAX(0,C92-D92))</f>
        <v/>
      </c>
      <c r="F92">
        <f>IF(D92="","PENDIENTE",IF(D92&lt;C92,"REPOSICIÓN","OK"))</f>
        <v/>
      </c>
      <c r="G92">
        <f>INVENTARIO!F92</f>
        <v/>
      </c>
    </row>
    <row r="93">
      <c r="A93">
        <f>INVENTARIO!A93</f>
        <v/>
      </c>
      <c r="B93">
        <f>INVENTARIO!B93</f>
        <v/>
      </c>
      <c r="C93">
        <f>INVENTARIO!C93</f>
        <v/>
      </c>
      <c r="D93">
        <f>IF(INVENTARIO!D93="","",INVENTARIO!D93)</f>
        <v/>
      </c>
      <c r="E93">
        <f>IF(D93="","",MAX(0,C93-D93))</f>
        <v/>
      </c>
      <c r="F93">
        <f>IF(D93="","PENDIENTE",IF(D93&lt;C93,"REPOSICIÓN","OK"))</f>
        <v/>
      </c>
      <c r="G93">
        <f>INVENTARIO!F93</f>
        <v/>
      </c>
    </row>
    <row r="94">
      <c r="A94">
        <f>INVENTARIO!A94</f>
        <v/>
      </c>
      <c r="B94">
        <f>INVENTARIO!B94</f>
        <v/>
      </c>
      <c r="C94">
        <f>INVENTARIO!C94</f>
        <v/>
      </c>
      <c r="D94">
        <f>IF(INVENTARIO!D94="","",INVENTARIO!D94)</f>
        <v/>
      </c>
      <c r="E94">
        <f>IF(D94="","",MAX(0,C94-D94))</f>
        <v/>
      </c>
      <c r="F94">
        <f>IF(D94="","PENDIENTE",IF(D94&lt;C94,"REPOSICIÓN","OK"))</f>
        <v/>
      </c>
      <c r="G94">
        <f>INVENTARIO!F94</f>
        <v/>
      </c>
    </row>
    <row r="95">
      <c r="A95">
        <f>INVENTARIO!A95</f>
        <v/>
      </c>
      <c r="B95">
        <f>INVENTARIO!B95</f>
        <v/>
      </c>
      <c r="C95">
        <f>INVENTARIO!C95</f>
        <v/>
      </c>
      <c r="D95">
        <f>IF(INVENTARIO!D95="","",INVENTARIO!D95)</f>
        <v/>
      </c>
      <c r="E95">
        <f>IF(D95="","",MAX(0,C95-D95))</f>
        <v/>
      </c>
      <c r="F95">
        <f>IF(D95="","PENDIENTE",IF(D95&lt;C95,"REPOSICIÓN","OK"))</f>
        <v/>
      </c>
      <c r="G95">
        <f>INVENTARIO!F95</f>
        <v/>
      </c>
    </row>
    <row r="96">
      <c r="A96">
        <f>INVENTARIO!A96</f>
        <v/>
      </c>
      <c r="B96">
        <f>INVENTARIO!B96</f>
        <v/>
      </c>
      <c r="C96">
        <f>INVENTARIO!C96</f>
        <v/>
      </c>
      <c r="D96">
        <f>IF(INVENTARIO!D96="","",INVENTARIO!D96)</f>
        <v/>
      </c>
      <c r="E96">
        <f>IF(D96="","",MAX(0,C96-D96))</f>
        <v/>
      </c>
      <c r="F96">
        <f>IF(D96="","PENDIENTE",IF(D96&lt;C96,"REPOSICIÓN","OK"))</f>
        <v/>
      </c>
      <c r="G96">
        <f>INVENTARIO!F96</f>
        <v/>
      </c>
    </row>
    <row r="97">
      <c r="A97">
        <f>INVENTARIO!A97</f>
        <v/>
      </c>
      <c r="B97">
        <f>INVENTARIO!B97</f>
        <v/>
      </c>
      <c r="C97">
        <f>INVENTARIO!C97</f>
        <v/>
      </c>
      <c r="D97">
        <f>IF(INVENTARIO!D97="","",INVENTARIO!D97)</f>
        <v/>
      </c>
      <c r="E97">
        <f>IF(D97="","",MAX(0,C97-D97))</f>
        <v/>
      </c>
      <c r="F97">
        <f>IF(D97="","PENDIENTE",IF(D97&lt;C97,"REPOSICIÓN","OK"))</f>
        <v/>
      </c>
      <c r="G97">
        <f>INVENTARIO!F97</f>
        <v/>
      </c>
    </row>
    <row r="98">
      <c r="A98">
        <f>INVENTARIO!A98</f>
        <v/>
      </c>
      <c r="B98">
        <f>INVENTARIO!B98</f>
        <v/>
      </c>
      <c r="C98">
        <f>INVENTARIO!C98</f>
        <v/>
      </c>
      <c r="D98">
        <f>IF(INVENTARIO!D98="","",INVENTARIO!D98)</f>
        <v/>
      </c>
      <c r="E98">
        <f>IF(D98="","",MAX(0,C98-D98))</f>
        <v/>
      </c>
      <c r="F98">
        <f>IF(D98="","PENDIENTE",IF(D98&lt;C98,"REPOSICIÓN","OK"))</f>
        <v/>
      </c>
      <c r="G98">
        <f>INVENTARIO!F98</f>
        <v/>
      </c>
    </row>
    <row r="99">
      <c r="A99">
        <f>INVENTARIO!A99</f>
        <v/>
      </c>
      <c r="B99">
        <f>INVENTARIO!B99</f>
        <v/>
      </c>
      <c r="C99">
        <f>INVENTARIO!C99</f>
        <v/>
      </c>
      <c r="D99">
        <f>IF(INVENTARIO!D99="","",INVENTARIO!D99)</f>
        <v/>
      </c>
      <c r="E99">
        <f>IF(D99="","",MAX(0,C99-D99))</f>
        <v/>
      </c>
      <c r="F99">
        <f>IF(D99="","PENDIENTE",IF(D99&lt;C99,"REPOSICIÓN","OK"))</f>
        <v/>
      </c>
      <c r="G99">
        <f>INVENTARIO!F99</f>
        <v/>
      </c>
    </row>
    <row r="100">
      <c r="A100">
        <f>INVENTARIO!A100</f>
        <v/>
      </c>
      <c r="B100">
        <f>INVENTARIO!B100</f>
        <v/>
      </c>
      <c r="C100">
        <f>INVENTARIO!C100</f>
        <v/>
      </c>
      <c r="D100">
        <f>IF(INVENTARIO!D100="","",INVENTARIO!D100)</f>
        <v/>
      </c>
      <c r="E100">
        <f>IF(D100="","",MAX(0,C100-D100))</f>
        <v/>
      </c>
      <c r="F100">
        <f>IF(D100="","PENDIENTE",IF(D100&lt;C100,"REPOSICIÓN","OK"))</f>
        <v/>
      </c>
      <c r="G100">
        <f>INVENTARIO!F100</f>
        <v/>
      </c>
    </row>
    <row r="101">
      <c r="A101">
        <f>INVENTARIO!A101</f>
        <v/>
      </c>
      <c r="B101">
        <f>INVENTARIO!B101</f>
        <v/>
      </c>
      <c r="C101">
        <f>INVENTARIO!C101</f>
        <v/>
      </c>
      <c r="D101">
        <f>IF(INVENTARIO!D101="","",INVENTARIO!D101)</f>
        <v/>
      </c>
      <c r="E101">
        <f>IF(D101="","",MAX(0,C101-D101))</f>
        <v/>
      </c>
      <c r="F101">
        <f>IF(D101="","PENDIENTE",IF(D101&lt;C101,"REPOSICIÓN","OK"))</f>
        <v/>
      </c>
      <c r="G101">
        <f>INVENTARIO!F101</f>
        <v/>
      </c>
    </row>
    <row r="102">
      <c r="A102">
        <f>INVENTARIO!A102</f>
        <v/>
      </c>
      <c r="B102">
        <f>INVENTARIO!B102</f>
        <v/>
      </c>
      <c r="C102">
        <f>INVENTARIO!C102</f>
        <v/>
      </c>
      <c r="D102">
        <f>IF(INVENTARIO!D102="","",INVENTARIO!D102)</f>
        <v/>
      </c>
      <c r="E102">
        <f>IF(D102="","",MAX(0,C102-D102))</f>
        <v/>
      </c>
      <c r="F102">
        <f>IF(D102="","PENDIENTE",IF(D102&lt;C102,"REPOSICIÓN","OK"))</f>
        <v/>
      </c>
      <c r="G102">
        <f>INVENTARIO!F102</f>
        <v/>
      </c>
    </row>
    <row r="103">
      <c r="A103">
        <f>INVENTARIO!A103</f>
        <v/>
      </c>
      <c r="B103">
        <f>INVENTARIO!B103</f>
        <v/>
      </c>
      <c r="C103">
        <f>INVENTARIO!C103</f>
        <v/>
      </c>
      <c r="D103">
        <f>IF(INVENTARIO!D103="","",INVENTARIO!D103)</f>
        <v/>
      </c>
      <c r="E103">
        <f>IF(D103="","",MAX(0,C103-D103))</f>
        <v/>
      </c>
      <c r="F103">
        <f>IF(D103="","PENDIENTE",IF(D103&lt;C103,"REPOSICIÓN","OK"))</f>
        <v/>
      </c>
      <c r="G103">
        <f>INVENTARIO!F103</f>
        <v/>
      </c>
    </row>
    <row r="104">
      <c r="A104">
        <f>INVENTARIO!A104</f>
        <v/>
      </c>
      <c r="B104">
        <f>INVENTARIO!B104</f>
        <v/>
      </c>
      <c r="C104">
        <f>INVENTARIO!C104</f>
        <v/>
      </c>
      <c r="D104">
        <f>IF(INVENTARIO!D104="","",INVENTARIO!D104)</f>
        <v/>
      </c>
      <c r="E104">
        <f>IF(D104="","",MAX(0,C104-D104))</f>
        <v/>
      </c>
      <c r="F104">
        <f>IF(D104="","PENDIENTE",IF(D104&lt;C104,"REPOSICIÓN","OK"))</f>
        <v/>
      </c>
      <c r="G104">
        <f>INVENTARIO!F104</f>
        <v/>
      </c>
    </row>
    <row r="105">
      <c r="A105">
        <f>INVENTARIO!A105</f>
        <v/>
      </c>
      <c r="B105">
        <f>INVENTARIO!B105</f>
        <v/>
      </c>
      <c r="C105">
        <f>INVENTARIO!C105</f>
        <v/>
      </c>
      <c r="D105">
        <f>IF(INVENTARIO!D105="","",INVENTARIO!D105)</f>
        <v/>
      </c>
      <c r="E105">
        <f>IF(D105="","",MAX(0,C105-D105))</f>
        <v/>
      </c>
      <c r="F105">
        <f>IF(D105="","PENDIENTE",IF(D105&lt;C105,"REPOSICIÓN","OK"))</f>
        <v/>
      </c>
      <c r="G105">
        <f>INVENTARIO!F105</f>
        <v/>
      </c>
    </row>
    <row r="106">
      <c r="A106">
        <f>INVENTARIO!A106</f>
        <v/>
      </c>
      <c r="B106">
        <f>INVENTARIO!B106</f>
        <v/>
      </c>
      <c r="C106">
        <f>INVENTARIO!C106</f>
        <v/>
      </c>
      <c r="D106">
        <f>IF(INVENTARIO!D106="","",INVENTARIO!D106)</f>
        <v/>
      </c>
      <c r="E106">
        <f>IF(D106="","",MAX(0,C106-D106))</f>
        <v/>
      </c>
      <c r="F106">
        <f>IF(D106="","PENDIENTE",IF(D106&lt;C106,"REPOSICIÓN","OK"))</f>
        <v/>
      </c>
      <c r="G106">
        <f>INVENTARIO!F106</f>
        <v/>
      </c>
    </row>
    <row r="107">
      <c r="A107">
        <f>INVENTARIO!A107</f>
        <v/>
      </c>
      <c r="B107">
        <f>INVENTARIO!B107</f>
        <v/>
      </c>
      <c r="C107">
        <f>INVENTARIO!C107</f>
        <v/>
      </c>
      <c r="D107">
        <f>IF(INVENTARIO!D107="","",INVENTARIO!D107)</f>
        <v/>
      </c>
      <c r="E107">
        <f>IF(D107="","",MAX(0,C107-D107))</f>
        <v/>
      </c>
      <c r="F107">
        <f>IF(D107="","PENDIENTE",IF(D107&lt;C107,"REPOSICIÓN","OK"))</f>
        <v/>
      </c>
      <c r="G107">
        <f>INVENTARIO!F107</f>
        <v/>
      </c>
    </row>
    <row r="108">
      <c r="A108">
        <f>INVENTARIO!A108</f>
        <v/>
      </c>
      <c r="B108">
        <f>INVENTARIO!B108</f>
        <v/>
      </c>
      <c r="C108">
        <f>INVENTARIO!C108</f>
        <v/>
      </c>
      <c r="D108">
        <f>IF(INVENTARIO!D108="","",INVENTARIO!D108)</f>
        <v/>
      </c>
      <c r="E108">
        <f>IF(D108="","",MAX(0,C108-D108))</f>
        <v/>
      </c>
      <c r="F108">
        <f>IF(D108="","PENDIENTE",IF(D108&lt;C108,"REPOSICIÓN","OK"))</f>
        <v/>
      </c>
      <c r="G108">
        <f>INVENTARIO!F108</f>
        <v/>
      </c>
    </row>
    <row r="109">
      <c r="A109">
        <f>INVENTARIO!A109</f>
        <v/>
      </c>
      <c r="B109">
        <f>INVENTARIO!B109</f>
        <v/>
      </c>
      <c r="C109">
        <f>INVENTARIO!C109</f>
        <v/>
      </c>
      <c r="D109">
        <f>IF(INVENTARIO!D109="","",INVENTARIO!D109)</f>
        <v/>
      </c>
      <c r="E109">
        <f>IF(D109="","",MAX(0,C109-D109))</f>
        <v/>
      </c>
      <c r="F109">
        <f>IF(D109="","PENDIENTE",IF(D109&lt;C109,"REPOSICIÓN","OK"))</f>
        <v/>
      </c>
      <c r="G109">
        <f>INVENTARIO!F109</f>
        <v/>
      </c>
    </row>
    <row r="110">
      <c r="A110">
        <f>INVENTARIO!A110</f>
        <v/>
      </c>
      <c r="B110">
        <f>INVENTARIO!B110</f>
        <v/>
      </c>
      <c r="C110">
        <f>INVENTARIO!C110</f>
        <v/>
      </c>
      <c r="D110">
        <f>IF(INVENTARIO!D110="","",INVENTARIO!D110)</f>
        <v/>
      </c>
      <c r="E110">
        <f>IF(D110="","",MAX(0,C110-D110))</f>
        <v/>
      </c>
      <c r="F110">
        <f>IF(D110="","PENDIENTE",IF(D110&lt;C110,"REPOSICIÓN","OK"))</f>
        <v/>
      </c>
      <c r="G110">
        <f>INVENTARIO!F110</f>
        <v/>
      </c>
    </row>
    <row r="111">
      <c r="A111">
        <f>INVENTARIO!A111</f>
        <v/>
      </c>
      <c r="B111">
        <f>INVENTARIO!B111</f>
        <v/>
      </c>
      <c r="C111">
        <f>INVENTARIO!C111</f>
        <v/>
      </c>
      <c r="D111">
        <f>IF(INVENTARIO!D111="","",INVENTARIO!D111)</f>
        <v/>
      </c>
      <c r="E111">
        <f>IF(D111="","",MAX(0,C111-D111))</f>
        <v/>
      </c>
      <c r="F111">
        <f>IF(D111="","PENDIENTE",IF(D111&lt;C111,"REPOSICIÓN","OK"))</f>
        <v/>
      </c>
      <c r="G111">
        <f>INVENTARIO!F111</f>
        <v/>
      </c>
    </row>
    <row r="112">
      <c r="A112">
        <f>INVENTARIO!A112</f>
        <v/>
      </c>
      <c r="B112">
        <f>INVENTARIO!B112</f>
        <v/>
      </c>
      <c r="C112">
        <f>INVENTARIO!C112</f>
        <v/>
      </c>
      <c r="D112">
        <f>IF(INVENTARIO!D112="","",INVENTARIO!D112)</f>
        <v/>
      </c>
      <c r="E112">
        <f>IF(D112="","",MAX(0,C112-D112))</f>
        <v/>
      </c>
      <c r="F112">
        <f>IF(D112="","PENDIENTE",IF(D112&lt;C112,"REPOSICIÓN","OK"))</f>
        <v/>
      </c>
      <c r="G112">
        <f>INVENTARIO!F112</f>
        <v/>
      </c>
    </row>
    <row r="113">
      <c r="A113">
        <f>INVENTARIO!A113</f>
        <v/>
      </c>
      <c r="B113">
        <f>INVENTARIO!B113</f>
        <v/>
      </c>
      <c r="C113">
        <f>INVENTARIO!C113</f>
        <v/>
      </c>
      <c r="D113">
        <f>IF(INVENTARIO!D113="","",INVENTARIO!D113)</f>
        <v/>
      </c>
      <c r="E113">
        <f>IF(D113="","",MAX(0,C113-D113))</f>
        <v/>
      </c>
      <c r="F113">
        <f>IF(D113="","PENDIENTE",IF(D113&lt;C113,"REPOSICIÓN","OK"))</f>
        <v/>
      </c>
      <c r="G113">
        <f>INVENTARIO!F113</f>
        <v/>
      </c>
    </row>
    <row r="114">
      <c r="A114">
        <f>INVENTARIO!A114</f>
        <v/>
      </c>
      <c r="B114">
        <f>INVENTARIO!B114</f>
        <v/>
      </c>
      <c r="C114">
        <f>INVENTARIO!C114</f>
        <v/>
      </c>
      <c r="D114">
        <f>IF(INVENTARIO!D114="","",INVENTARIO!D114)</f>
        <v/>
      </c>
      <c r="E114">
        <f>IF(D114="","",MAX(0,C114-D114))</f>
        <v/>
      </c>
      <c r="F114">
        <f>IF(D114="","PENDIENTE",IF(D114&lt;C114,"REPOSICIÓN","OK"))</f>
        <v/>
      </c>
      <c r="G114">
        <f>INVENTARIO!F114</f>
        <v/>
      </c>
    </row>
    <row r="115">
      <c r="A115">
        <f>INVENTARIO!A115</f>
        <v/>
      </c>
      <c r="B115">
        <f>INVENTARIO!B115</f>
        <v/>
      </c>
      <c r="C115">
        <f>INVENTARIO!C115</f>
        <v/>
      </c>
      <c r="D115">
        <f>IF(INVENTARIO!D115="","",INVENTARIO!D115)</f>
        <v/>
      </c>
      <c r="E115">
        <f>IF(D115="","",MAX(0,C115-D115))</f>
        <v/>
      </c>
      <c r="F115">
        <f>IF(D115="","PENDIENTE",IF(D115&lt;C115,"REPOSICIÓN","OK"))</f>
        <v/>
      </c>
      <c r="G115">
        <f>INVENTARIO!F115</f>
        <v/>
      </c>
    </row>
    <row r="116">
      <c r="A116">
        <f>INVENTARIO!A116</f>
        <v/>
      </c>
      <c r="B116">
        <f>INVENTARIO!B116</f>
        <v/>
      </c>
      <c r="C116">
        <f>INVENTARIO!C116</f>
        <v/>
      </c>
      <c r="D116">
        <f>IF(INVENTARIO!D116="","",INVENTARIO!D116)</f>
        <v/>
      </c>
      <c r="E116">
        <f>IF(D116="","",MAX(0,C116-D116))</f>
        <v/>
      </c>
      <c r="F116">
        <f>IF(D116="","PENDIENTE",IF(D116&lt;C116,"REPOSICIÓN","OK"))</f>
        <v/>
      </c>
      <c r="G116">
        <f>INVENTARIO!F116</f>
        <v/>
      </c>
    </row>
    <row r="117">
      <c r="A117">
        <f>INVENTARIO!A117</f>
        <v/>
      </c>
      <c r="B117">
        <f>INVENTARIO!B117</f>
        <v/>
      </c>
      <c r="C117">
        <f>INVENTARIO!C117</f>
        <v/>
      </c>
      <c r="D117">
        <f>IF(INVENTARIO!D117="","",INVENTARIO!D117)</f>
        <v/>
      </c>
      <c r="E117">
        <f>IF(D117="","",MAX(0,C117-D117))</f>
        <v/>
      </c>
      <c r="F117">
        <f>IF(D117="","PENDIENTE",IF(D117&lt;C117,"REPOSICIÓN","OK"))</f>
        <v/>
      </c>
      <c r="G117">
        <f>INVENTARIO!F117</f>
        <v/>
      </c>
    </row>
    <row r="118">
      <c r="A118">
        <f>INVENTARIO!A118</f>
        <v/>
      </c>
      <c r="B118">
        <f>INVENTARIO!B118</f>
        <v/>
      </c>
      <c r="C118">
        <f>INVENTARIO!C118</f>
        <v/>
      </c>
      <c r="D118">
        <f>IF(INVENTARIO!D118="","",INVENTARIO!D118)</f>
        <v/>
      </c>
      <c r="E118">
        <f>IF(D118="","",MAX(0,C118-D118))</f>
        <v/>
      </c>
      <c r="F118">
        <f>IF(D118="","PENDIENTE",IF(D118&lt;C118,"REPOSICIÓN","OK"))</f>
        <v/>
      </c>
      <c r="G118">
        <f>INVENTARIO!F118</f>
        <v/>
      </c>
    </row>
    <row r="119">
      <c r="A119">
        <f>INVENTARIO!A119</f>
        <v/>
      </c>
      <c r="B119">
        <f>INVENTARIO!B119</f>
        <v/>
      </c>
      <c r="C119">
        <f>INVENTARIO!C119</f>
        <v/>
      </c>
      <c r="D119">
        <f>IF(INVENTARIO!D119="","",INVENTARIO!D119)</f>
        <v/>
      </c>
      <c r="E119">
        <f>IF(D119="","",MAX(0,C119-D119))</f>
        <v/>
      </c>
      <c r="F119">
        <f>IF(D119="","PENDIENTE",IF(D119&lt;C119,"REPOSICIÓN","OK"))</f>
        <v/>
      </c>
      <c r="G119">
        <f>INVENTARIO!F119</f>
        <v/>
      </c>
    </row>
    <row r="120">
      <c r="A120">
        <f>INVENTARIO!A120</f>
        <v/>
      </c>
      <c r="B120">
        <f>INVENTARIO!B120</f>
        <v/>
      </c>
      <c r="C120">
        <f>INVENTARIO!C120</f>
        <v/>
      </c>
      <c r="D120">
        <f>IF(INVENTARIO!D120="","",INVENTARIO!D120)</f>
        <v/>
      </c>
      <c r="E120">
        <f>IF(D120="","",MAX(0,C120-D120))</f>
        <v/>
      </c>
      <c r="F120">
        <f>IF(D120="","PENDIENTE",IF(D120&lt;C120,"REPOSICIÓN","OK"))</f>
        <v/>
      </c>
      <c r="G120">
        <f>INVENTARIO!F120</f>
        <v/>
      </c>
    </row>
    <row r="121">
      <c r="A121">
        <f>INVENTARIO!A121</f>
        <v/>
      </c>
      <c r="B121">
        <f>INVENTARIO!B121</f>
        <v/>
      </c>
      <c r="C121">
        <f>INVENTARIO!C121</f>
        <v/>
      </c>
      <c r="D121">
        <f>IF(INVENTARIO!D121="","",INVENTARIO!D121)</f>
        <v/>
      </c>
      <c r="E121">
        <f>IF(D121="","",MAX(0,C121-D121))</f>
        <v/>
      </c>
      <c r="F121">
        <f>IF(D121="","PENDIENTE",IF(D121&lt;C121,"REPOSICIÓN","OK"))</f>
        <v/>
      </c>
      <c r="G121">
        <f>INVENTARIO!F121</f>
        <v/>
      </c>
    </row>
    <row r="122">
      <c r="A122">
        <f>INVENTARIO!A122</f>
        <v/>
      </c>
      <c r="B122">
        <f>INVENTARIO!B122</f>
        <v/>
      </c>
      <c r="C122">
        <f>INVENTARIO!C122</f>
        <v/>
      </c>
      <c r="D122">
        <f>IF(INVENTARIO!D122="","",INVENTARIO!D122)</f>
        <v/>
      </c>
      <c r="E122">
        <f>IF(D122="","",MAX(0,C122-D122))</f>
        <v/>
      </c>
      <c r="F122">
        <f>IF(D122="","PENDIENTE",IF(D122&lt;C122,"REPOSICIÓN","OK"))</f>
        <v/>
      </c>
      <c r="G122">
        <f>INVENTARIO!F122</f>
        <v/>
      </c>
    </row>
    <row r="123">
      <c r="A123">
        <f>INVENTARIO!A123</f>
        <v/>
      </c>
      <c r="B123">
        <f>INVENTARIO!B123</f>
        <v/>
      </c>
      <c r="C123">
        <f>INVENTARIO!C123</f>
        <v/>
      </c>
      <c r="D123">
        <f>IF(INVENTARIO!D123="","",INVENTARIO!D123)</f>
        <v/>
      </c>
      <c r="E123">
        <f>IF(D123="","",MAX(0,C123-D123))</f>
        <v/>
      </c>
      <c r="F123">
        <f>IF(D123="","PENDIENTE",IF(D123&lt;C123,"REPOSICIÓN","OK"))</f>
        <v/>
      </c>
      <c r="G123">
        <f>INVENTARIO!F123</f>
        <v/>
      </c>
    </row>
    <row r="124">
      <c r="A124">
        <f>INVENTARIO!A124</f>
        <v/>
      </c>
      <c r="B124">
        <f>INVENTARIO!B124</f>
        <v/>
      </c>
      <c r="C124">
        <f>INVENTARIO!C124</f>
        <v/>
      </c>
      <c r="D124">
        <f>IF(INVENTARIO!D124="","",INVENTARIO!D124)</f>
        <v/>
      </c>
      <c r="E124">
        <f>IF(D124="","",MAX(0,C124-D124))</f>
        <v/>
      </c>
      <c r="F124">
        <f>IF(D124="","PENDIENTE",IF(D124&lt;C124,"REPOSICIÓN","OK"))</f>
        <v/>
      </c>
      <c r="G124">
        <f>INVENTARIO!F124</f>
        <v/>
      </c>
    </row>
    <row r="125">
      <c r="A125">
        <f>INVENTARIO!A125</f>
        <v/>
      </c>
      <c r="B125">
        <f>INVENTARIO!B125</f>
        <v/>
      </c>
      <c r="C125">
        <f>INVENTARIO!C125</f>
        <v/>
      </c>
      <c r="D125">
        <f>IF(INVENTARIO!D125="","",INVENTARIO!D125)</f>
        <v/>
      </c>
      <c r="E125">
        <f>IF(D125="","",MAX(0,C125-D125))</f>
        <v/>
      </c>
      <c r="F125">
        <f>IF(D125="","PENDIENTE",IF(D125&lt;C125,"REPOSICIÓN","OK"))</f>
        <v/>
      </c>
      <c r="G125">
        <f>INVENTARIO!F125</f>
        <v/>
      </c>
    </row>
    <row r="126">
      <c r="A126">
        <f>INVENTARIO!A126</f>
        <v/>
      </c>
      <c r="B126">
        <f>INVENTARIO!B126</f>
        <v/>
      </c>
      <c r="C126">
        <f>INVENTARIO!C126</f>
        <v/>
      </c>
      <c r="D126">
        <f>IF(INVENTARIO!D126="","",INVENTARIO!D126)</f>
        <v/>
      </c>
      <c r="E126">
        <f>IF(D126="","",MAX(0,C126-D126))</f>
        <v/>
      </c>
      <c r="F126">
        <f>IF(D126="","PENDIENTE",IF(D126&lt;C126,"REPOSICIÓN","OK"))</f>
        <v/>
      </c>
      <c r="G126">
        <f>INVENTARIO!F126</f>
        <v/>
      </c>
    </row>
    <row r="127">
      <c r="A127">
        <f>INVENTARIO!A127</f>
        <v/>
      </c>
      <c r="B127">
        <f>INVENTARIO!B127</f>
        <v/>
      </c>
      <c r="C127">
        <f>INVENTARIO!C127</f>
        <v/>
      </c>
      <c r="D127">
        <f>IF(INVENTARIO!D127="","",INVENTARIO!D127)</f>
        <v/>
      </c>
      <c r="E127">
        <f>IF(D127="","",MAX(0,C127-D127))</f>
        <v/>
      </c>
      <c r="F127">
        <f>IF(D127="","PENDIENTE",IF(D127&lt;C127,"REPOSICIÓN","OK"))</f>
        <v/>
      </c>
      <c r="G127">
        <f>INVENTARIO!F127</f>
        <v/>
      </c>
    </row>
    <row r="128">
      <c r="A128">
        <f>INVENTARIO!A128</f>
        <v/>
      </c>
      <c r="B128">
        <f>INVENTARIO!B128</f>
        <v/>
      </c>
      <c r="C128">
        <f>INVENTARIO!C128</f>
        <v/>
      </c>
      <c r="D128">
        <f>IF(INVENTARIO!D128="","",INVENTARIO!D128)</f>
        <v/>
      </c>
      <c r="E128">
        <f>IF(D128="","",MAX(0,C128-D128))</f>
        <v/>
      </c>
      <c r="F128">
        <f>IF(D128="","PENDIENTE",IF(D128&lt;C128,"REPOSICIÓN","OK"))</f>
        <v/>
      </c>
      <c r="G128">
        <f>INVENTARIO!F128</f>
        <v/>
      </c>
    </row>
    <row r="129">
      <c r="A129">
        <f>INVENTARIO!A129</f>
        <v/>
      </c>
      <c r="B129">
        <f>INVENTARIO!B129</f>
        <v/>
      </c>
      <c r="C129">
        <f>INVENTARIO!C129</f>
        <v/>
      </c>
      <c r="D129">
        <f>IF(INVENTARIO!D129="","",INVENTARIO!D129)</f>
        <v/>
      </c>
      <c r="E129">
        <f>IF(D129="","",MAX(0,C129-D129))</f>
        <v/>
      </c>
      <c r="F129">
        <f>IF(D129="","PENDIENTE",IF(D129&lt;C129,"REPOSICIÓN","OK"))</f>
        <v/>
      </c>
      <c r="G129">
        <f>INVENTARIO!F129</f>
        <v/>
      </c>
    </row>
    <row r="130">
      <c r="A130">
        <f>INVENTARIO!A130</f>
        <v/>
      </c>
      <c r="B130">
        <f>INVENTARIO!B130</f>
        <v/>
      </c>
      <c r="C130">
        <f>INVENTARIO!C130</f>
        <v/>
      </c>
      <c r="D130">
        <f>IF(INVENTARIO!D130="","",INVENTARIO!D130)</f>
        <v/>
      </c>
      <c r="E130">
        <f>IF(D130="","",MAX(0,C130-D130))</f>
        <v/>
      </c>
      <c r="F130">
        <f>IF(D130="","PENDIENTE",IF(D130&lt;C130,"REPOSICIÓN","OK"))</f>
        <v/>
      </c>
      <c r="G130">
        <f>INVENTARIO!F130</f>
        <v/>
      </c>
    </row>
    <row r="131">
      <c r="A131">
        <f>INVENTARIO!A131</f>
        <v/>
      </c>
      <c r="B131">
        <f>INVENTARIO!B131</f>
        <v/>
      </c>
      <c r="C131">
        <f>INVENTARIO!C131</f>
        <v/>
      </c>
      <c r="D131">
        <f>IF(INVENTARIO!D131="","",INVENTARIO!D131)</f>
        <v/>
      </c>
      <c r="E131">
        <f>IF(D131="","",MAX(0,C131-D131))</f>
        <v/>
      </c>
      <c r="F131">
        <f>IF(D131="","PENDIENTE",IF(D131&lt;C131,"REPOSICIÓN","OK"))</f>
        <v/>
      </c>
      <c r="G131">
        <f>INVENTARIO!F131</f>
        <v/>
      </c>
    </row>
    <row r="132">
      <c r="A132">
        <f>INVENTARIO!A132</f>
        <v/>
      </c>
      <c r="B132">
        <f>INVENTARIO!B132</f>
        <v/>
      </c>
      <c r="C132">
        <f>INVENTARIO!C132</f>
        <v/>
      </c>
      <c r="D132">
        <f>IF(INVENTARIO!D132="","",INVENTARIO!D132)</f>
        <v/>
      </c>
      <c r="E132">
        <f>IF(D132="","",MAX(0,C132-D132))</f>
        <v/>
      </c>
      <c r="F132">
        <f>IF(D132="","PENDIENTE",IF(D132&lt;C132,"REPOSICIÓN","OK"))</f>
        <v/>
      </c>
      <c r="G132">
        <f>INVENTARIO!F132</f>
        <v/>
      </c>
    </row>
    <row r="133">
      <c r="A133">
        <f>INVENTARIO!A133</f>
        <v/>
      </c>
      <c r="B133">
        <f>INVENTARIO!B133</f>
        <v/>
      </c>
      <c r="C133">
        <f>INVENTARIO!C133</f>
        <v/>
      </c>
      <c r="D133">
        <f>IF(INVENTARIO!D133="","",INVENTARIO!D133)</f>
        <v/>
      </c>
      <c r="E133">
        <f>IF(D133="","",MAX(0,C133-D133))</f>
        <v/>
      </c>
      <c r="F133">
        <f>IF(D133="","PENDIENTE",IF(D133&lt;C133,"REPOSICIÓN","OK"))</f>
        <v/>
      </c>
      <c r="G133">
        <f>INVENTARIO!F133</f>
        <v/>
      </c>
    </row>
    <row r="134">
      <c r="A134">
        <f>INVENTARIO!A134</f>
        <v/>
      </c>
      <c r="B134">
        <f>INVENTARIO!B134</f>
        <v/>
      </c>
      <c r="C134">
        <f>INVENTARIO!C134</f>
        <v/>
      </c>
      <c r="D134">
        <f>IF(INVENTARIO!D134="","",INVENTARIO!D134)</f>
        <v/>
      </c>
      <c r="E134">
        <f>IF(D134="","",MAX(0,C134-D134))</f>
        <v/>
      </c>
      <c r="F134">
        <f>IF(D134="","PENDIENTE",IF(D134&lt;C134,"REPOSICIÓN","OK"))</f>
        <v/>
      </c>
      <c r="G134">
        <f>INVENTARIO!F134</f>
        <v/>
      </c>
    </row>
    <row r="135">
      <c r="A135">
        <f>INVENTARIO!A135</f>
        <v/>
      </c>
      <c r="B135">
        <f>INVENTARIO!B135</f>
        <v/>
      </c>
      <c r="C135">
        <f>INVENTARIO!C135</f>
        <v/>
      </c>
      <c r="D135">
        <f>IF(INVENTARIO!D135="","",INVENTARIO!D135)</f>
        <v/>
      </c>
      <c r="E135">
        <f>IF(D135="","",MAX(0,C135-D135))</f>
        <v/>
      </c>
      <c r="F135">
        <f>IF(D135="","PENDIENTE",IF(D135&lt;C135,"REPOSICIÓN","OK"))</f>
        <v/>
      </c>
      <c r="G135">
        <f>INVENTARIO!F135</f>
        <v/>
      </c>
    </row>
    <row r="136">
      <c r="A136">
        <f>INVENTARIO!A136</f>
        <v/>
      </c>
      <c r="B136">
        <f>INVENTARIO!B136</f>
        <v/>
      </c>
      <c r="C136">
        <f>INVENTARIO!C136</f>
        <v/>
      </c>
      <c r="D136">
        <f>IF(INVENTARIO!D136="","",INVENTARIO!D136)</f>
        <v/>
      </c>
      <c r="E136">
        <f>IF(D136="","",MAX(0,C136-D136))</f>
        <v/>
      </c>
      <c r="F136">
        <f>IF(D136="","PENDIENTE",IF(D136&lt;C136,"REPOSICIÓN","OK"))</f>
        <v/>
      </c>
      <c r="G136">
        <f>INVENTARIO!F136</f>
        <v/>
      </c>
    </row>
    <row r="137">
      <c r="A137">
        <f>INVENTARIO!A137</f>
        <v/>
      </c>
      <c r="B137">
        <f>INVENTARIO!B137</f>
        <v/>
      </c>
      <c r="C137">
        <f>INVENTARIO!C137</f>
        <v/>
      </c>
      <c r="D137">
        <f>IF(INVENTARIO!D137="","",INVENTARIO!D137)</f>
        <v/>
      </c>
      <c r="E137">
        <f>IF(D137="","",MAX(0,C137-D137))</f>
        <v/>
      </c>
      <c r="F137">
        <f>IF(D137="","PENDIENTE",IF(D137&lt;C137,"REPOSICIÓN","OK"))</f>
        <v/>
      </c>
      <c r="G137">
        <f>INVENTARIO!F137</f>
        <v/>
      </c>
    </row>
    <row r="138">
      <c r="A138">
        <f>INVENTARIO!A138</f>
        <v/>
      </c>
      <c r="B138">
        <f>INVENTARIO!B138</f>
        <v/>
      </c>
      <c r="C138">
        <f>INVENTARIO!C138</f>
        <v/>
      </c>
      <c r="D138">
        <f>IF(INVENTARIO!D138="","",INVENTARIO!D138)</f>
        <v/>
      </c>
      <c r="E138">
        <f>IF(D138="","",MAX(0,C138-D138))</f>
        <v/>
      </c>
      <c r="F138">
        <f>IF(D138="","PENDIENTE",IF(D138&lt;C138,"REPOSICIÓN","OK"))</f>
        <v/>
      </c>
      <c r="G138">
        <f>INVENTARIO!F138</f>
        <v/>
      </c>
    </row>
    <row r="139">
      <c r="A139">
        <f>INVENTARIO!A139</f>
        <v/>
      </c>
      <c r="B139">
        <f>INVENTARIO!B139</f>
        <v/>
      </c>
      <c r="C139">
        <f>INVENTARIO!C139</f>
        <v/>
      </c>
      <c r="D139">
        <f>IF(INVENTARIO!D139="","",INVENTARIO!D139)</f>
        <v/>
      </c>
      <c r="E139">
        <f>IF(D139="","",MAX(0,C139-D139))</f>
        <v/>
      </c>
      <c r="F139">
        <f>IF(D139="","PENDIENTE",IF(D139&lt;C139,"REPOSICIÓN","OK"))</f>
        <v/>
      </c>
      <c r="G139">
        <f>INVENTARIO!F139</f>
        <v/>
      </c>
    </row>
    <row r="140">
      <c r="A140">
        <f>INVENTARIO!A140</f>
        <v/>
      </c>
      <c r="B140">
        <f>INVENTARIO!B140</f>
        <v/>
      </c>
      <c r="C140">
        <f>INVENTARIO!C140</f>
        <v/>
      </c>
      <c r="D140">
        <f>IF(INVENTARIO!D140="","",INVENTARIO!D140)</f>
        <v/>
      </c>
      <c r="E140">
        <f>IF(D140="","",MAX(0,C140-D140))</f>
        <v/>
      </c>
      <c r="F140">
        <f>IF(D140="","PENDIENTE",IF(D140&lt;C140,"REPOSICIÓN","OK"))</f>
        <v/>
      </c>
      <c r="G140">
        <f>INVENTARIO!F140</f>
        <v/>
      </c>
    </row>
    <row r="141">
      <c r="A141">
        <f>INVENTARIO!A141</f>
        <v/>
      </c>
      <c r="B141">
        <f>INVENTARIO!B141</f>
        <v/>
      </c>
      <c r="C141">
        <f>INVENTARIO!C141</f>
        <v/>
      </c>
      <c r="D141">
        <f>IF(INVENTARIO!D141="","",INVENTARIO!D141)</f>
        <v/>
      </c>
      <c r="E141">
        <f>IF(D141="","",MAX(0,C141-D141))</f>
        <v/>
      </c>
      <c r="F141">
        <f>IF(D141="","PENDIENTE",IF(D141&lt;C141,"REPOSICIÓN","OK"))</f>
        <v/>
      </c>
      <c r="G141">
        <f>INVENTARIO!F141</f>
        <v/>
      </c>
    </row>
    <row r="142">
      <c r="A142">
        <f>INVENTARIO!A142</f>
        <v/>
      </c>
      <c r="B142">
        <f>INVENTARIO!B142</f>
        <v/>
      </c>
      <c r="C142">
        <f>INVENTARIO!C142</f>
        <v/>
      </c>
      <c r="D142">
        <f>IF(INVENTARIO!D142="","",INVENTARIO!D142)</f>
        <v/>
      </c>
      <c r="E142">
        <f>IF(D142="","",MAX(0,C142-D142))</f>
        <v/>
      </c>
      <c r="F142">
        <f>IF(D142="","PENDIENTE",IF(D142&lt;C142,"REPOSICIÓN","OK"))</f>
        <v/>
      </c>
      <c r="G142">
        <f>INVENTARIO!F142</f>
        <v/>
      </c>
    </row>
    <row r="143">
      <c r="A143">
        <f>INVENTARIO!A143</f>
        <v/>
      </c>
      <c r="B143">
        <f>INVENTARIO!B143</f>
        <v/>
      </c>
      <c r="C143">
        <f>INVENTARIO!C143</f>
        <v/>
      </c>
      <c r="D143">
        <f>IF(INVENTARIO!D143="","",INVENTARIO!D143)</f>
        <v/>
      </c>
      <c r="E143">
        <f>IF(D143="","",MAX(0,C143-D143))</f>
        <v/>
      </c>
      <c r="F143">
        <f>IF(D143="","PENDIENTE",IF(D143&lt;C143,"REPOSICIÓN","OK"))</f>
        <v/>
      </c>
      <c r="G143">
        <f>INVENTARIO!F143</f>
        <v/>
      </c>
    </row>
    <row r="144">
      <c r="A144">
        <f>INVENTARIO!A144</f>
        <v/>
      </c>
      <c r="B144">
        <f>INVENTARIO!B144</f>
        <v/>
      </c>
      <c r="C144">
        <f>INVENTARIO!C144</f>
        <v/>
      </c>
      <c r="D144">
        <f>IF(INVENTARIO!D144="","",INVENTARIO!D144)</f>
        <v/>
      </c>
      <c r="E144">
        <f>IF(D144="","",MAX(0,C144-D144))</f>
        <v/>
      </c>
      <c r="F144">
        <f>IF(D144="","PENDIENTE",IF(D144&lt;C144,"REPOSICIÓN","OK"))</f>
        <v/>
      </c>
      <c r="G144">
        <f>INVENTARIO!F144</f>
        <v/>
      </c>
    </row>
    <row r="145">
      <c r="A145">
        <f>INVENTARIO!A145</f>
        <v/>
      </c>
      <c r="B145">
        <f>INVENTARIO!B145</f>
        <v/>
      </c>
      <c r="C145">
        <f>INVENTARIO!C145</f>
        <v/>
      </c>
      <c r="D145">
        <f>IF(INVENTARIO!D145="","",INVENTARIO!D145)</f>
        <v/>
      </c>
      <c r="E145">
        <f>IF(D145="","",MAX(0,C145-D145))</f>
        <v/>
      </c>
      <c r="F145">
        <f>IF(D145="","PENDIENTE",IF(D145&lt;C145,"REPOSICIÓN","OK"))</f>
        <v/>
      </c>
      <c r="G145">
        <f>INVENTARIO!F145</f>
        <v/>
      </c>
    </row>
    <row r="146">
      <c r="A146">
        <f>INVENTARIO!A146</f>
        <v/>
      </c>
      <c r="B146">
        <f>INVENTARIO!B146</f>
        <v/>
      </c>
      <c r="C146">
        <f>INVENTARIO!C146</f>
        <v/>
      </c>
      <c r="D146">
        <f>IF(INVENTARIO!D146="","",INVENTARIO!D146)</f>
        <v/>
      </c>
      <c r="E146">
        <f>IF(D146="","",MAX(0,C146-D146))</f>
        <v/>
      </c>
      <c r="F146">
        <f>IF(D146="","PENDIENTE",IF(D146&lt;C146,"REPOSICIÓN","OK"))</f>
        <v/>
      </c>
      <c r="G146">
        <f>INVENTARIO!F146</f>
        <v/>
      </c>
    </row>
    <row r="147">
      <c r="A147">
        <f>INVENTARIO!A147</f>
        <v/>
      </c>
      <c r="B147">
        <f>INVENTARIO!B147</f>
        <v/>
      </c>
      <c r="C147">
        <f>INVENTARIO!C147</f>
        <v/>
      </c>
      <c r="D147">
        <f>IF(INVENTARIO!D147="","",INVENTARIO!D147)</f>
        <v/>
      </c>
      <c r="E147">
        <f>IF(D147="","",MAX(0,C147-D147))</f>
        <v/>
      </c>
      <c r="F147">
        <f>IF(D147="","PENDIENTE",IF(D147&lt;C147,"REPOSICIÓN","OK"))</f>
        <v/>
      </c>
      <c r="G147">
        <f>INVENTARIO!F147</f>
        <v/>
      </c>
    </row>
    <row r="148">
      <c r="A148">
        <f>INVENTARIO!A148</f>
        <v/>
      </c>
      <c r="B148">
        <f>INVENTARIO!B148</f>
        <v/>
      </c>
      <c r="C148">
        <f>INVENTARIO!C148</f>
        <v/>
      </c>
      <c r="D148">
        <f>IF(INVENTARIO!D148="","",INVENTARIO!D148)</f>
        <v/>
      </c>
      <c r="E148">
        <f>IF(D148="","",MAX(0,C148-D148))</f>
        <v/>
      </c>
      <c r="F148">
        <f>IF(D148="","PENDIENTE",IF(D148&lt;C148,"REPOSICIÓN","OK"))</f>
        <v/>
      </c>
      <c r="G148">
        <f>INVENTARIO!F148</f>
        <v/>
      </c>
    </row>
    <row r="149">
      <c r="A149">
        <f>INVENTARIO!A149</f>
        <v/>
      </c>
      <c r="B149">
        <f>INVENTARIO!B149</f>
        <v/>
      </c>
      <c r="C149">
        <f>INVENTARIO!C149</f>
        <v/>
      </c>
      <c r="D149">
        <f>IF(INVENTARIO!D149="","",INVENTARIO!D149)</f>
        <v/>
      </c>
      <c r="E149">
        <f>IF(D149="","",MAX(0,C149-D149))</f>
        <v/>
      </c>
      <c r="F149">
        <f>IF(D149="","PENDIENTE",IF(D149&lt;C149,"REPOSICIÓN","OK"))</f>
        <v/>
      </c>
      <c r="G149">
        <f>INVENTARIO!F149</f>
        <v/>
      </c>
    </row>
    <row r="150">
      <c r="A150">
        <f>INVENTARIO!A150</f>
        <v/>
      </c>
      <c r="B150">
        <f>INVENTARIO!B150</f>
        <v/>
      </c>
      <c r="C150">
        <f>INVENTARIO!C150</f>
        <v/>
      </c>
      <c r="D150">
        <f>IF(INVENTARIO!D150="","",INVENTARIO!D150)</f>
        <v/>
      </c>
      <c r="E150">
        <f>IF(D150="","",MAX(0,C150-D150))</f>
        <v/>
      </c>
      <c r="F150">
        <f>IF(D150="","PENDIENTE",IF(D150&lt;C150,"REPOSICIÓN","OK"))</f>
        <v/>
      </c>
      <c r="G150">
        <f>INVENTARIO!F150</f>
        <v/>
      </c>
    </row>
    <row r="151">
      <c r="A151">
        <f>INVENTARIO!A151</f>
        <v/>
      </c>
      <c r="B151">
        <f>INVENTARIO!B151</f>
        <v/>
      </c>
      <c r="C151">
        <f>INVENTARIO!C151</f>
        <v/>
      </c>
      <c r="D151">
        <f>IF(INVENTARIO!D151="","",INVENTARIO!D151)</f>
        <v/>
      </c>
      <c r="E151">
        <f>IF(D151="","",MAX(0,C151-D151))</f>
        <v/>
      </c>
      <c r="F151">
        <f>IF(D151="","PENDIENTE",IF(D151&lt;C151,"REPOSICIÓN","OK"))</f>
        <v/>
      </c>
      <c r="G151">
        <f>INVENTARIO!F151</f>
        <v/>
      </c>
    </row>
    <row r="152">
      <c r="A152">
        <f>INVENTARIO!A152</f>
        <v/>
      </c>
      <c r="B152">
        <f>INVENTARIO!B152</f>
        <v/>
      </c>
      <c r="C152">
        <f>INVENTARIO!C152</f>
        <v/>
      </c>
      <c r="D152">
        <f>IF(INVENTARIO!D152="","",INVENTARIO!D152)</f>
        <v/>
      </c>
      <c r="E152">
        <f>IF(D152="","",MAX(0,C152-D152))</f>
        <v/>
      </c>
      <c r="F152">
        <f>IF(D152="","PENDIENTE",IF(D152&lt;C152,"REPOSICIÓN","OK"))</f>
        <v/>
      </c>
      <c r="G152">
        <f>INVENTARIO!F152</f>
        <v/>
      </c>
    </row>
    <row r="153">
      <c r="A153">
        <f>INVENTARIO!A153</f>
        <v/>
      </c>
      <c r="B153">
        <f>INVENTARIO!B153</f>
        <v/>
      </c>
      <c r="C153">
        <f>INVENTARIO!C153</f>
        <v/>
      </c>
      <c r="D153">
        <f>IF(INVENTARIO!D153="","",INVENTARIO!D153)</f>
        <v/>
      </c>
      <c r="E153">
        <f>IF(D153="","",MAX(0,C153-D153))</f>
        <v/>
      </c>
      <c r="F153">
        <f>IF(D153="","PENDIENTE",IF(D153&lt;C153,"REPOSICIÓN","OK"))</f>
        <v/>
      </c>
      <c r="G153">
        <f>INVENTARIO!F153</f>
        <v/>
      </c>
    </row>
    <row r="154">
      <c r="A154">
        <f>INVENTARIO!A154</f>
        <v/>
      </c>
      <c r="B154">
        <f>INVENTARIO!B154</f>
        <v/>
      </c>
      <c r="C154">
        <f>INVENTARIO!C154</f>
        <v/>
      </c>
      <c r="D154">
        <f>IF(INVENTARIO!D154="","",INVENTARIO!D154)</f>
        <v/>
      </c>
      <c r="E154">
        <f>IF(D154="","",MAX(0,C154-D154))</f>
        <v/>
      </c>
      <c r="F154">
        <f>IF(D154="","PENDIENTE",IF(D154&lt;C154,"REPOSICIÓN","OK"))</f>
        <v/>
      </c>
      <c r="G154">
        <f>INVENTARIO!F154</f>
        <v/>
      </c>
    </row>
    <row r="155">
      <c r="A155">
        <f>INVENTARIO!A155</f>
        <v/>
      </c>
      <c r="B155">
        <f>INVENTARIO!B155</f>
        <v/>
      </c>
      <c r="C155">
        <f>INVENTARIO!C155</f>
        <v/>
      </c>
      <c r="D155">
        <f>IF(INVENTARIO!D155="","",INVENTARIO!D155)</f>
        <v/>
      </c>
      <c r="E155">
        <f>IF(D155="","",MAX(0,C155-D155))</f>
        <v/>
      </c>
      <c r="F155">
        <f>IF(D155="","PENDIENTE",IF(D155&lt;C155,"REPOSICIÓN","OK"))</f>
        <v/>
      </c>
      <c r="G155">
        <f>INVENTARIO!F155</f>
        <v/>
      </c>
    </row>
    <row r="156">
      <c r="A156">
        <f>INVENTARIO!A156</f>
        <v/>
      </c>
      <c r="B156">
        <f>INVENTARIO!B156</f>
        <v/>
      </c>
      <c r="C156">
        <f>INVENTARIO!C156</f>
        <v/>
      </c>
      <c r="D156">
        <f>IF(INVENTARIO!D156="","",INVENTARIO!D156)</f>
        <v/>
      </c>
      <c r="E156">
        <f>IF(D156="","",MAX(0,C156-D156))</f>
        <v/>
      </c>
      <c r="F156">
        <f>IF(D156="","PENDIENTE",IF(D156&lt;C156,"REPOSICIÓN","OK"))</f>
        <v/>
      </c>
      <c r="G156">
        <f>INVENTARIO!F156</f>
        <v/>
      </c>
    </row>
    <row r="157">
      <c r="A157">
        <f>INVENTARIO!A157</f>
        <v/>
      </c>
      <c r="B157">
        <f>INVENTARIO!B157</f>
        <v/>
      </c>
      <c r="C157">
        <f>INVENTARIO!C157</f>
        <v/>
      </c>
      <c r="D157">
        <f>IF(INVENTARIO!D157="","",INVENTARIO!D157)</f>
        <v/>
      </c>
      <c r="E157">
        <f>IF(D157="","",MAX(0,C157-D157))</f>
        <v/>
      </c>
      <c r="F157">
        <f>IF(D157="","PENDIENTE",IF(D157&lt;C157,"REPOSICIÓN","OK"))</f>
        <v/>
      </c>
      <c r="G157">
        <f>INVENTARIO!F157</f>
        <v/>
      </c>
    </row>
    <row r="158">
      <c r="A158">
        <f>INVENTARIO!A158</f>
        <v/>
      </c>
      <c r="B158">
        <f>INVENTARIO!B158</f>
        <v/>
      </c>
      <c r="C158">
        <f>INVENTARIO!C158</f>
        <v/>
      </c>
      <c r="D158">
        <f>IF(INVENTARIO!D158="","",INVENTARIO!D158)</f>
        <v/>
      </c>
      <c r="E158">
        <f>IF(D158="","",MAX(0,C158-D158))</f>
        <v/>
      </c>
      <c r="F158">
        <f>IF(D158="","PENDIENTE",IF(D158&lt;C158,"REPOSICIÓN","OK"))</f>
        <v/>
      </c>
      <c r="G158">
        <f>INVENTARIO!F158</f>
        <v/>
      </c>
    </row>
    <row r="159">
      <c r="A159">
        <f>INVENTARIO!A159</f>
        <v/>
      </c>
      <c r="B159">
        <f>INVENTARIO!B159</f>
        <v/>
      </c>
      <c r="C159">
        <f>INVENTARIO!C159</f>
        <v/>
      </c>
      <c r="D159">
        <f>IF(INVENTARIO!D159="","",INVENTARIO!D159)</f>
        <v/>
      </c>
      <c r="E159">
        <f>IF(D159="","",MAX(0,C159-D159))</f>
        <v/>
      </c>
      <c r="F159">
        <f>IF(D159="","PENDIENTE",IF(D159&lt;C159,"REPOSICIÓN","OK"))</f>
        <v/>
      </c>
      <c r="G159">
        <f>INVENTARIO!F159</f>
        <v/>
      </c>
    </row>
    <row r="160">
      <c r="A160">
        <f>INVENTARIO!A160</f>
        <v/>
      </c>
      <c r="B160">
        <f>INVENTARIO!B160</f>
        <v/>
      </c>
      <c r="C160">
        <f>INVENTARIO!C160</f>
        <v/>
      </c>
      <c r="D160">
        <f>IF(INVENTARIO!D160="","",INVENTARIO!D160)</f>
        <v/>
      </c>
      <c r="E160">
        <f>IF(D160="","",MAX(0,C160-D160))</f>
        <v/>
      </c>
      <c r="F160">
        <f>IF(D160="","PENDIENTE",IF(D160&lt;C160,"REPOSICIÓN","OK"))</f>
        <v/>
      </c>
      <c r="G160">
        <f>INVENTARIO!F160</f>
        <v/>
      </c>
    </row>
    <row r="161">
      <c r="A161">
        <f>INVENTARIO!A161</f>
        <v/>
      </c>
      <c r="B161">
        <f>INVENTARIO!B161</f>
        <v/>
      </c>
      <c r="C161">
        <f>INVENTARIO!C161</f>
        <v/>
      </c>
      <c r="D161">
        <f>IF(INVENTARIO!D161="","",INVENTARIO!D161)</f>
        <v/>
      </c>
      <c r="E161">
        <f>IF(D161="","",MAX(0,C161-D161))</f>
        <v/>
      </c>
      <c r="F161">
        <f>IF(D161="","PENDIENTE",IF(D161&lt;C161,"REPOSICIÓN","OK"))</f>
        <v/>
      </c>
      <c r="G161">
        <f>INVENTARIO!F161</f>
        <v/>
      </c>
    </row>
    <row r="162">
      <c r="A162">
        <f>INVENTARIO!A162</f>
        <v/>
      </c>
      <c r="B162">
        <f>INVENTARIO!B162</f>
        <v/>
      </c>
      <c r="C162">
        <f>INVENTARIO!C162</f>
        <v/>
      </c>
      <c r="D162">
        <f>IF(INVENTARIO!D162="","",INVENTARIO!D162)</f>
        <v/>
      </c>
      <c r="E162">
        <f>IF(D162="","",MAX(0,C162-D162))</f>
        <v/>
      </c>
      <c r="F162">
        <f>IF(D162="","PENDIENTE",IF(D162&lt;C162,"REPOSICIÓN","OK"))</f>
        <v/>
      </c>
      <c r="G162">
        <f>INVENTARIO!F162</f>
        <v/>
      </c>
    </row>
    <row r="163">
      <c r="A163">
        <f>INVENTARIO!A163</f>
        <v/>
      </c>
      <c r="B163">
        <f>INVENTARIO!B163</f>
        <v/>
      </c>
      <c r="C163">
        <f>INVENTARIO!C163</f>
        <v/>
      </c>
      <c r="D163">
        <f>IF(INVENTARIO!D163="","",INVENTARIO!D163)</f>
        <v/>
      </c>
      <c r="E163">
        <f>IF(D163="","",MAX(0,C163-D163))</f>
        <v/>
      </c>
      <c r="F163">
        <f>IF(D163="","PENDIENTE",IF(D163&lt;C163,"REPOSICIÓN","OK"))</f>
        <v/>
      </c>
      <c r="G163">
        <f>INVENTARIO!F163</f>
        <v/>
      </c>
    </row>
    <row r="164">
      <c r="A164">
        <f>INVENTARIO!A164</f>
        <v/>
      </c>
      <c r="B164">
        <f>INVENTARIO!B164</f>
        <v/>
      </c>
      <c r="C164">
        <f>INVENTARIO!C164</f>
        <v/>
      </c>
      <c r="D164">
        <f>IF(INVENTARIO!D164="","",INVENTARIO!D164)</f>
        <v/>
      </c>
      <c r="E164">
        <f>IF(D164="","",MAX(0,C164-D164))</f>
        <v/>
      </c>
      <c r="F164">
        <f>IF(D164="","PENDIENTE",IF(D164&lt;C164,"REPOSICIÓN","OK"))</f>
        <v/>
      </c>
      <c r="G164">
        <f>INVENTARIO!F164</f>
        <v/>
      </c>
    </row>
    <row r="165">
      <c r="A165">
        <f>INVENTARIO!A165</f>
        <v/>
      </c>
      <c r="B165">
        <f>INVENTARIO!B165</f>
        <v/>
      </c>
      <c r="C165">
        <f>INVENTARIO!C165</f>
        <v/>
      </c>
      <c r="D165">
        <f>IF(INVENTARIO!D165="","",INVENTARIO!D165)</f>
        <v/>
      </c>
      <c r="E165">
        <f>IF(D165="","",MAX(0,C165-D165))</f>
        <v/>
      </c>
      <c r="F165">
        <f>IF(D165="","PENDIENTE",IF(D165&lt;C165,"REPOSICIÓN","OK"))</f>
        <v/>
      </c>
      <c r="G165">
        <f>INVENTARIO!F165</f>
        <v/>
      </c>
    </row>
    <row r="166">
      <c r="A166">
        <f>INVENTARIO!A166</f>
        <v/>
      </c>
      <c r="B166">
        <f>INVENTARIO!B166</f>
        <v/>
      </c>
      <c r="C166">
        <f>INVENTARIO!C166</f>
        <v/>
      </c>
      <c r="D166">
        <f>IF(INVENTARIO!D166="","",INVENTARIO!D166)</f>
        <v/>
      </c>
      <c r="E166">
        <f>IF(D166="","",MAX(0,C166-D166))</f>
        <v/>
      </c>
      <c r="F166">
        <f>IF(D166="","PENDIENTE",IF(D166&lt;C166,"REPOSICIÓN","OK"))</f>
        <v/>
      </c>
      <c r="G166">
        <f>INVENTARIO!F166</f>
        <v/>
      </c>
    </row>
    <row r="167">
      <c r="A167">
        <f>INVENTARIO!A167</f>
        <v/>
      </c>
      <c r="B167">
        <f>INVENTARIO!B167</f>
        <v/>
      </c>
      <c r="C167">
        <f>INVENTARIO!C167</f>
        <v/>
      </c>
      <c r="D167">
        <f>IF(INVENTARIO!D167="","",INVENTARIO!D167)</f>
        <v/>
      </c>
      <c r="E167">
        <f>IF(D167="","",MAX(0,C167-D167))</f>
        <v/>
      </c>
      <c r="F167">
        <f>IF(D167="","PENDIENTE",IF(D167&lt;C167,"REPOSICIÓN","OK"))</f>
        <v/>
      </c>
      <c r="G167">
        <f>INVENTARIO!F167</f>
        <v/>
      </c>
    </row>
    <row r="168">
      <c r="A168">
        <f>INVENTARIO!A168</f>
        <v/>
      </c>
      <c r="B168">
        <f>INVENTARIO!B168</f>
        <v/>
      </c>
      <c r="C168">
        <f>INVENTARIO!C168</f>
        <v/>
      </c>
      <c r="D168">
        <f>IF(INVENTARIO!D168="","",INVENTARIO!D168)</f>
        <v/>
      </c>
      <c r="E168">
        <f>IF(D168="","",MAX(0,C168-D168))</f>
        <v/>
      </c>
      <c r="F168">
        <f>IF(D168="","PENDIENTE",IF(D168&lt;C168,"REPOSICIÓN","OK"))</f>
        <v/>
      </c>
      <c r="G168">
        <f>INVENTARIO!F168</f>
        <v/>
      </c>
    </row>
    <row r="169">
      <c r="A169">
        <f>INVENTARIO!A169</f>
        <v/>
      </c>
      <c r="B169">
        <f>INVENTARIO!B169</f>
        <v/>
      </c>
      <c r="C169">
        <f>INVENTARIO!C169</f>
        <v/>
      </c>
      <c r="D169">
        <f>IF(INVENTARIO!D169="","",INVENTARIO!D169)</f>
        <v/>
      </c>
      <c r="E169">
        <f>IF(D169="","",MAX(0,C169-D169))</f>
        <v/>
      </c>
      <c r="F169">
        <f>IF(D169="","PENDIENTE",IF(D169&lt;C169,"REPOSICIÓN","OK"))</f>
        <v/>
      </c>
      <c r="G169">
        <f>INVENTARIO!F169</f>
        <v/>
      </c>
    </row>
    <row r="170">
      <c r="A170">
        <f>INVENTARIO!A170</f>
        <v/>
      </c>
      <c r="B170">
        <f>INVENTARIO!B170</f>
        <v/>
      </c>
      <c r="C170">
        <f>INVENTARIO!C170</f>
        <v/>
      </c>
      <c r="D170">
        <f>IF(INVENTARIO!D170="","",INVENTARIO!D170)</f>
        <v/>
      </c>
      <c r="E170">
        <f>IF(D170="","",MAX(0,C170-D170))</f>
        <v/>
      </c>
      <c r="F170">
        <f>IF(D170="","PENDIENTE",IF(D170&lt;C170,"REPOSICIÓN","OK"))</f>
        <v/>
      </c>
      <c r="G170">
        <f>INVENTARIO!F170</f>
        <v/>
      </c>
    </row>
    <row r="171">
      <c r="A171">
        <f>INVENTARIO!A171</f>
        <v/>
      </c>
      <c r="B171">
        <f>INVENTARIO!B171</f>
        <v/>
      </c>
      <c r="C171">
        <f>INVENTARIO!C171</f>
        <v/>
      </c>
      <c r="D171">
        <f>IF(INVENTARIO!D171="","",INVENTARIO!D171)</f>
        <v/>
      </c>
      <c r="E171">
        <f>IF(D171="","",MAX(0,C171-D171))</f>
        <v/>
      </c>
      <c r="F171">
        <f>IF(D171="","PENDIENTE",IF(D171&lt;C171,"REPOSICIÓN","OK"))</f>
        <v/>
      </c>
      <c r="G171">
        <f>INVENTARIO!F171</f>
        <v/>
      </c>
    </row>
    <row r="172">
      <c r="A172">
        <f>INVENTARIO!A172</f>
        <v/>
      </c>
      <c r="B172">
        <f>INVENTARIO!B172</f>
        <v/>
      </c>
      <c r="C172">
        <f>INVENTARIO!C172</f>
        <v/>
      </c>
      <c r="D172">
        <f>IF(INVENTARIO!D172="","",INVENTARIO!D172)</f>
        <v/>
      </c>
      <c r="E172">
        <f>IF(D172="","",MAX(0,C172-D172))</f>
        <v/>
      </c>
      <c r="F172">
        <f>IF(D172="","PENDIENTE",IF(D172&lt;C172,"REPOSICIÓN","OK"))</f>
        <v/>
      </c>
      <c r="G172">
        <f>INVENTARIO!F172</f>
        <v/>
      </c>
    </row>
    <row r="173">
      <c r="A173">
        <f>INVENTARIO!A173</f>
        <v/>
      </c>
      <c r="B173">
        <f>INVENTARIO!B173</f>
        <v/>
      </c>
      <c r="C173">
        <f>INVENTARIO!C173</f>
        <v/>
      </c>
      <c r="D173">
        <f>IF(INVENTARIO!D173="","",INVENTARIO!D173)</f>
        <v/>
      </c>
      <c r="E173">
        <f>IF(D173="","",MAX(0,C173-D173))</f>
        <v/>
      </c>
      <c r="F173">
        <f>IF(D173="","PENDIENTE",IF(D173&lt;C173,"REPOSICIÓN","OK"))</f>
        <v/>
      </c>
      <c r="G173">
        <f>INVENTARIO!F173</f>
        <v/>
      </c>
    </row>
    <row r="174">
      <c r="A174">
        <f>INVENTARIO!A174</f>
        <v/>
      </c>
      <c r="B174">
        <f>INVENTARIO!B174</f>
        <v/>
      </c>
      <c r="C174">
        <f>INVENTARIO!C174</f>
        <v/>
      </c>
      <c r="D174">
        <f>IF(INVENTARIO!D174="","",INVENTARIO!D174)</f>
        <v/>
      </c>
      <c r="E174">
        <f>IF(D174="","",MAX(0,C174-D174))</f>
        <v/>
      </c>
      <c r="F174">
        <f>IF(D174="","PENDIENTE",IF(D174&lt;C174,"REPOSICIÓN","OK"))</f>
        <v/>
      </c>
      <c r="G174">
        <f>INVENTARIO!F174</f>
        <v/>
      </c>
    </row>
    <row r="175">
      <c r="A175">
        <f>INVENTARIO!A175</f>
        <v/>
      </c>
      <c r="B175">
        <f>INVENTARIO!B175</f>
        <v/>
      </c>
      <c r="C175">
        <f>INVENTARIO!C175</f>
        <v/>
      </c>
      <c r="D175">
        <f>IF(INVENTARIO!D175="","",INVENTARIO!D175)</f>
        <v/>
      </c>
      <c r="E175">
        <f>IF(D175="","",MAX(0,C175-D175))</f>
        <v/>
      </c>
      <c r="F175">
        <f>IF(D175="","PENDIENTE",IF(D175&lt;C175,"REPOSICIÓN","OK"))</f>
        <v/>
      </c>
      <c r="G175">
        <f>INVENTARIO!F175</f>
        <v/>
      </c>
    </row>
    <row r="176">
      <c r="A176">
        <f>INVENTARIO!A176</f>
        <v/>
      </c>
      <c r="B176">
        <f>INVENTARIO!B176</f>
        <v/>
      </c>
      <c r="C176">
        <f>INVENTARIO!C176</f>
        <v/>
      </c>
      <c r="D176">
        <f>IF(INVENTARIO!D176="","",INVENTARIO!D176)</f>
        <v/>
      </c>
      <c r="E176">
        <f>IF(D176="","",MAX(0,C176-D176))</f>
        <v/>
      </c>
      <c r="F176">
        <f>IF(D176="","PENDIENTE",IF(D176&lt;C176,"REPOSICIÓN","OK"))</f>
        <v/>
      </c>
      <c r="G176">
        <f>INVENTARIO!F176</f>
        <v/>
      </c>
    </row>
    <row r="177">
      <c r="A177">
        <f>INVENTARIO!A177</f>
        <v/>
      </c>
      <c r="B177">
        <f>INVENTARIO!B177</f>
        <v/>
      </c>
      <c r="C177">
        <f>INVENTARIO!C177</f>
        <v/>
      </c>
      <c r="D177">
        <f>IF(INVENTARIO!D177="","",INVENTARIO!D177)</f>
        <v/>
      </c>
      <c r="E177">
        <f>IF(D177="","",MAX(0,C177-D177))</f>
        <v/>
      </c>
      <c r="F177">
        <f>IF(D177="","PENDIENTE",IF(D177&lt;C177,"REPOSICIÓN","OK"))</f>
        <v/>
      </c>
      <c r="G177">
        <f>INVENTARIO!F177</f>
        <v/>
      </c>
    </row>
    <row r="178">
      <c r="A178">
        <f>INVENTARIO!A178</f>
        <v/>
      </c>
      <c r="B178">
        <f>INVENTARIO!B178</f>
        <v/>
      </c>
      <c r="C178">
        <f>INVENTARIO!C178</f>
        <v/>
      </c>
      <c r="D178">
        <f>IF(INVENTARIO!D178="","",INVENTARIO!D178)</f>
        <v/>
      </c>
      <c r="E178">
        <f>IF(D178="","",MAX(0,C178-D178))</f>
        <v/>
      </c>
      <c r="F178">
        <f>IF(D178="","PENDIENTE",IF(D178&lt;C178,"REPOSICIÓN","OK"))</f>
        <v/>
      </c>
      <c r="G178">
        <f>INVENTARIO!F178</f>
        <v/>
      </c>
    </row>
    <row r="179">
      <c r="A179">
        <f>INVENTARIO!A179</f>
        <v/>
      </c>
      <c r="B179">
        <f>INVENTARIO!B179</f>
        <v/>
      </c>
      <c r="C179">
        <f>INVENTARIO!C179</f>
        <v/>
      </c>
      <c r="D179">
        <f>IF(INVENTARIO!D179="","",INVENTARIO!D179)</f>
        <v/>
      </c>
      <c r="E179">
        <f>IF(D179="","",MAX(0,C179-D179))</f>
        <v/>
      </c>
      <c r="F179">
        <f>IF(D179="","PENDIENTE",IF(D179&lt;C179,"REPOSICIÓN","OK"))</f>
        <v/>
      </c>
      <c r="G179">
        <f>INVENTARIO!F179</f>
        <v/>
      </c>
    </row>
    <row r="180">
      <c r="A180">
        <f>INVENTARIO!A180</f>
        <v/>
      </c>
      <c r="B180">
        <f>INVENTARIO!B180</f>
        <v/>
      </c>
      <c r="C180">
        <f>INVENTARIO!C180</f>
        <v/>
      </c>
      <c r="D180">
        <f>IF(INVENTARIO!D180="","",INVENTARIO!D180)</f>
        <v/>
      </c>
      <c r="E180">
        <f>IF(D180="","",MAX(0,C180-D180))</f>
        <v/>
      </c>
      <c r="F180">
        <f>IF(D180="","PENDIENTE",IF(D180&lt;C180,"REPOSICIÓN","OK"))</f>
        <v/>
      </c>
      <c r="G180">
        <f>INVENTARIO!F180</f>
        <v/>
      </c>
    </row>
    <row r="181">
      <c r="A181">
        <f>INVENTARIO!A181</f>
        <v/>
      </c>
      <c r="B181">
        <f>INVENTARIO!B181</f>
        <v/>
      </c>
      <c r="C181">
        <f>INVENTARIO!C181</f>
        <v/>
      </c>
      <c r="D181">
        <f>IF(INVENTARIO!D181="","",INVENTARIO!D181)</f>
        <v/>
      </c>
      <c r="E181">
        <f>IF(D181="","",MAX(0,C181-D181))</f>
        <v/>
      </c>
      <c r="F181">
        <f>IF(D181="","PENDIENTE",IF(D181&lt;C181,"REPOSICIÓN","OK"))</f>
        <v/>
      </c>
      <c r="G181">
        <f>INVENTARIO!F181</f>
        <v/>
      </c>
    </row>
    <row r="182">
      <c r="A182">
        <f>INVENTARIO!A182</f>
        <v/>
      </c>
      <c r="B182">
        <f>INVENTARIO!B182</f>
        <v/>
      </c>
      <c r="C182">
        <f>INVENTARIO!C182</f>
        <v/>
      </c>
      <c r="D182">
        <f>IF(INVENTARIO!D182="","",INVENTARIO!D182)</f>
        <v/>
      </c>
      <c r="E182">
        <f>IF(D182="","",MAX(0,C182-D182))</f>
        <v/>
      </c>
      <c r="F182">
        <f>IF(D182="","PENDIENTE",IF(D182&lt;C182,"REPOSICIÓN","OK"))</f>
        <v/>
      </c>
      <c r="G182">
        <f>INVENTARIO!F182</f>
        <v/>
      </c>
    </row>
    <row r="183">
      <c r="A183">
        <f>INVENTARIO!A183</f>
        <v/>
      </c>
      <c r="B183">
        <f>INVENTARIO!B183</f>
        <v/>
      </c>
      <c r="C183">
        <f>INVENTARIO!C183</f>
        <v/>
      </c>
      <c r="D183">
        <f>IF(INVENTARIO!D183="","",INVENTARIO!D183)</f>
        <v/>
      </c>
      <c r="E183">
        <f>IF(D183="","",MAX(0,C183-D183))</f>
        <v/>
      </c>
      <c r="F183">
        <f>IF(D183="","PENDIENTE",IF(D183&lt;C183,"REPOSICIÓN","OK"))</f>
        <v/>
      </c>
      <c r="G183">
        <f>INVENTARIO!F183</f>
        <v/>
      </c>
    </row>
    <row r="184">
      <c r="A184">
        <f>INVENTARIO!A184</f>
        <v/>
      </c>
      <c r="B184">
        <f>INVENTARIO!B184</f>
        <v/>
      </c>
      <c r="C184">
        <f>INVENTARIO!C184</f>
        <v/>
      </c>
      <c r="D184">
        <f>IF(INVENTARIO!D184="","",INVENTARIO!D184)</f>
        <v/>
      </c>
      <c r="E184">
        <f>IF(D184="","",MAX(0,C184-D184))</f>
        <v/>
      </c>
      <c r="F184">
        <f>IF(D184="","PENDIENTE",IF(D184&lt;C184,"REPOSICIÓN","OK"))</f>
        <v/>
      </c>
      <c r="G184">
        <f>INVENTARIO!F184</f>
        <v/>
      </c>
    </row>
    <row r="185">
      <c r="A185">
        <f>INVENTARIO!A185</f>
        <v/>
      </c>
      <c r="B185">
        <f>INVENTARIO!B185</f>
        <v/>
      </c>
      <c r="C185">
        <f>INVENTARIO!C185</f>
        <v/>
      </c>
      <c r="D185">
        <f>IF(INVENTARIO!D185="","",INVENTARIO!D185)</f>
        <v/>
      </c>
      <c r="E185">
        <f>IF(D185="","",MAX(0,C185-D185))</f>
        <v/>
      </c>
      <c r="F185">
        <f>IF(D185="","PENDIENTE",IF(D185&lt;C185,"REPOSICIÓN","OK"))</f>
        <v/>
      </c>
      <c r="G185">
        <f>INVENTARIO!F185</f>
        <v/>
      </c>
    </row>
    <row r="186">
      <c r="A186">
        <f>INVENTARIO!A186</f>
        <v/>
      </c>
      <c r="B186">
        <f>INVENTARIO!B186</f>
        <v/>
      </c>
      <c r="C186">
        <f>INVENTARIO!C186</f>
        <v/>
      </c>
      <c r="D186">
        <f>IF(INVENTARIO!D186="","",INVENTARIO!D186)</f>
        <v/>
      </c>
      <c r="E186">
        <f>IF(D186="","",MAX(0,C186-D186))</f>
        <v/>
      </c>
      <c r="F186">
        <f>IF(D186="","PENDIENTE",IF(D186&lt;C186,"REPOSICIÓN","OK"))</f>
        <v/>
      </c>
      <c r="G186">
        <f>INVENTARIO!F186</f>
        <v/>
      </c>
    </row>
    <row r="187">
      <c r="A187">
        <f>INVENTARIO!A187</f>
        <v/>
      </c>
      <c r="B187">
        <f>INVENTARIO!B187</f>
        <v/>
      </c>
      <c r="C187">
        <f>INVENTARIO!C187</f>
        <v/>
      </c>
      <c r="D187">
        <f>IF(INVENTARIO!D187="","",INVENTARIO!D187)</f>
        <v/>
      </c>
      <c r="E187">
        <f>IF(D187="","",MAX(0,C187-D187))</f>
        <v/>
      </c>
      <c r="F187">
        <f>IF(D187="","PENDIENTE",IF(D187&lt;C187,"REPOSICIÓN","OK"))</f>
        <v/>
      </c>
      <c r="G187">
        <f>INVENTARIO!F187</f>
        <v/>
      </c>
    </row>
    <row r="188">
      <c r="A188">
        <f>INVENTARIO!A188</f>
        <v/>
      </c>
      <c r="B188">
        <f>INVENTARIO!B188</f>
        <v/>
      </c>
      <c r="C188">
        <f>INVENTARIO!C188</f>
        <v/>
      </c>
      <c r="D188">
        <f>IF(INVENTARIO!D188="","",INVENTARIO!D188)</f>
        <v/>
      </c>
      <c r="E188">
        <f>IF(D188="","",MAX(0,C188-D188))</f>
        <v/>
      </c>
      <c r="F188">
        <f>IF(D188="","PENDIENTE",IF(D188&lt;C188,"REPOSICIÓN","OK"))</f>
        <v/>
      </c>
      <c r="G188">
        <f>INVENTARIO!F188</f>
        <v/>
      </c>
    </row>
    <row r="189">
      <c r="A189">
        <f>INVENTARIO!A189</f>
        <v/>
      </c>
      <c r="B189">
        <f>INVENTARIO!B189</f>
        <v/>
      </c>
      <c r="C189">
        <f>INVENTARIO!C189</f>
        <v/>
      </c>
      <c r="D189">
        <f>IF(INVENTARIO!D189="","",INVENTARIO!D189)</f>
        <v/>
      </c>
      <c r="E189">
        <f>IF(D189="","",MAX(0,C189-D189))</f>
        <v/>
      </c>
      <c r="F189">
        <f>IF(D189="","PENDIENTE",IF(D189&lt;C189,"REPOSICIÓN","OK"))</f>
        <v/>
      </c>
      <c r="G189">
        <f>INVENTARIO!F189</f>
        <v/>
      </c>
    </row>
    <row r="190">
      <c r="A190">
        <f>INVENTARIO!A190</f>
        <v/>
      </c>
      <c r="B190">
        <f>INVENTARIO!B190</f>
        <v/>
      </c>
      <c r="C190">
        <f>INVENTARIO!C190</f>
        <v/>
      </c>
      <c r="D190">
        <f>IF(INVENTARIO!D190="","",INVENTARIO!D190)</f>
        <v/>
      </c>
      <c r="E190">
        <f>IF(D190="","",MAX(0,C190-D190))</f>
        <v/>
      </c>
      <c r="F190">
        <f>IF(D190="","PENDIENTE",IF(D190&lt;C190,"REPOSICIÓN","OK"))</f>
        <v/>
      </c>
      <c r="G190">
        <f>INVENTARIO!F190</f>
        <v/>
      </c>
    </row>
    <row r="191">
      <c r="A191">
        <f>INVENTARIO!A191</f>
        <v/>
      </c>
      <c r="B191">
        <f>INVENTARIO!B191</f>
        <v/>
      </c>
      <c r="C191">
        <f>INVENTARIO!C191</f>
        <v/>
      </c>
      <c r="D191">
        <f>IF(INVENTARIO!D191="","",INVENTARIO!D191)</f>
        <v/>
      </c>
      <c r="E191">
        <f>IF(D191="","",MAX(0,C191-D191))</f>
        <v/>
      </c>
      <c r="F191">
        <f>IF(D191="","PENDIENTE",IF(D191&lt;C191,"REPOSICIÓN","OK"))</f>
        <v/>
      </c>
      <c r="G191">
        <f>INVENTARIO!F191</f>
        <v/>
      </c>
    </row>
    <row r="192">
      <c r="A192">
        <f>INVENTARIO!A192</f>
        <v/>
      </c>
      <c r="B192">
        <f>INVENTARIO!B192</f>
        <v/>
      </c>
      <c r="C192">
        <f>INVENTARIO!C192</f>
        <v/>
      </c>
      <c r="D192">
        <f>IF(INVENTARIO!D192="","",INVENTARIO!D192)</f>
        <v/>
      </c>
      <c r="E192">
        <f>IF(D192="","",MAX(0,C192-D192))</f>
        <v/>
      </c>
      <c r="F192">
        <f>IF(D192="","PENDIENTE",IF(D192&lt;C192,"REPOSICIÓN","OK"))</f>
        <v/>
      </c>
      <c r="G192">
        <f>INVENTARIO!F192</f>
        <v/>
      </c>
    </row>
    <row r="193">
      <c r="A193">
        <f>INVENTARIO!A193</f>
        <v/>
      </c>
      <c r="B193">
        <f>INVENTARIO!B193</f>
        <v/>
      </c>
      <c r="C193">
        <f>INVENTARIO!C193</f>
        <v/>
      </c>
      <c r="D193">
        <f>IF(INVENTARIO!D193="","",INVENTARIO!D193)</f>
        <v/>
      </c>
      <c r="E193">
        <f>IF(D193="","",MAX(0,C193-D193))</f>
        <v/>
      </c>
      <c r="F193">
        <f>IF(D193="","PENDIENTE",IF(D193&lt;C193,"REPOSICIÓN","OK"))</f>
        <v/>
      </c>
      <c r="G193">
        <f>INVENTARIO!F193</f>
        <v/>
      </c>
    </row>
    <row r="194">
      <c r="A194">
        <f>INVENTARIO!A194</f>
        <v/>
      </c>
      <c r="B194">
        <f>INVENTARIO!B194</f>
        <v/>
      </c>
      <c r="C194">
        <f>INVENTARIO!C194</f>
        <v/>
      </c>
      <c r="D194">
        <f>IF(INVENTARIO!D194="","",INVENTARIO!D194)</f>
        <v/>
      </c>
      <c r="E194">
        <f>IF(D194="","",MAX(0,C194-D194))</f>
        <v/>
      </c>
      <c r="F194">
        <f>IF(D194="","PENDIENTE",IF(D194&lt;C194,"REPOSICIÓN","OK"))</f>
        <v/>
      </c>
      <c r="G194">
        <f>INVENTARIO!F194</f>
        <v/>
      </c>
    </row>
    <row r="195">
      <c r="A195">
        <f>INVENTARIO!A195</f>
        <v/>
      </c>
      <c r="B195">
        <f>INVENTARIO!B195</f>
        <v/>
      </c>
      <c r="C195">
        <f>INVENTARIO!C195</f>
        <v/>
      </c>
      <c r="D195">
        <f>IF(INVENTARIO!D195="","",INVENTARIO!D195)</f>
        <v/>
      </c>
      <c r="E195">
        <f>IF(D195="","",MAX(0,C195-D195))</f>
        <v/>
      </c>
      <c r="F195">
        <f>IF(D195="","PENDIENTE",IF(D195&lt;C195,"REPOSICIÓN","OK"))</f>
        <v/>
      </c>
      <c r="G195">
        <f>INVENTARIO!F195</f>
        <v/>
      </c>
    </row>
    <row r="196">
      <c r="A196">
        <f>INVENTARIO!A196</f>
        <v/>
      </c>
      <c r="B196">
        <f>INVENTARIO!B196</f>
        <v/>
      </c>
      <c r="C196">
        <f>INVENTARIO!C196</f>
        <v/>
      </c>
      <c r="D196">
        <f>IF(INVENTARIO!D196="","",INVENTARIO!D196)</f>
        <v/>
      </c>
      <c r="E196">
        <f>IF(D196="","",MAX(0,C196-D196))</f>
        <v/>
      </c>
      <c r="F196">
        <f>IF(D196="","PENDIENTE",IF(D196&lt;C196,"REPOSICIÓN","OK"))</f>
        <v/>
      </c>
      <c r="G196">
        <f>INVENTARIO!F196</f>
        <v/>
      </c>
    </row>
    <row r="197">
      <c r="A197">
        <f>INVENTARIO!A197</f>
        <v/>
      </c>
      <c r="B197">
        <f>INVENTARIO!B197</f>
        <v/>
      </c>
      <c r="C197">
        <f>INVENTARIO!C197</f>
        <v/>
      </c>
      <c r="D197">
        <f>IF(INVENTARIO!D197="","",INVENTARIO!D197)</f>
        <v/>
      </c>
      <c r="E197">
        <f>IF(D197="","",MAX(0,C197-D197))</f>
        <v/>
      </c>
      <c r="F197">
        <f>IF(D197="","PENDIENTE",IF(D197&lt;C197,"REPOSICIÓN","OK"))</f>
        <v/>
      </c>
      <c r="G197">
        <f>INVENTARIO!F197</f>
        <v/>
      </c>
    </row>
    <row r="198">
      <c r="A198">
        <f>INVENTARIO!A198</f>
        <v/>
      </c>
      <c r="B198">
        <f>INVENTARIO!B198</f>
        <v/>
      </c>
      <c r="C198">
        <f>INVENTARIO!C198</f>
        <v/>
      </c>
      <c r="D198">
        <f>IF(INVENTARIO!D198="","",INVENTARIO!D198)</f>
        <v/>
      </c>
      <c r="E198">
        <f>IF(D198="","",MAX(0,C198-D198))</f>
        <v/>
      </c>
      <c r="F198">
        <f>IF(D198="","PENDIENTE",IF(D198&lt;C198,"REPOSICIÓN","OK"))</f>
        <v/>
      </c>
      <c r="G198">
        <f>INVENTARIO!F198</f>
        <v/>
      </c>
    </row>
    <row r="199">
      <c r="A199">
        <f>INVENTARIO!A199</f>
        <v/>
      </c>
      <c r="B199">
        <f>INVENTARIO!B199</f>
        <v/>
      </c>
      <c r="C199">
        <f>INVENTARIO!C199</f>
        <v/>
      </c>
      <c r="D199">
        <f>IF(INVENTARIO!D199="","",INVENTARIO!D199)</f>
        <v/>
      </c>
      <c r="E199">
        <f>IF(D199="","",MAX(0,C199-D199))</f>
        <v/>
      </c>
      <c r="F199">
        <f>IF(D199="","PENDIENTE",IF(D199&lt;C199,"REPOSICIÓN","OK"))</f>
        <v/>
      </c>
      <c r="G199">
        <f>INVENTARIO!F199</f>
        <v/>
      </c>
    </row>
    <row r="200">
      <c r="A200">
        <f>INVENTARIO!A200</f>
        <v/>
      </c>
      <c r="B200">
        <f>INVENTARIO!B200</f>
        <v/>
      </c>
      <c r="C200">
        <f>INVENTARIO!C200</f>
        <v/>
      </c>
      <c r="D200">
        <f>IF(INVENTARIO!D200="","",INVENTARIO!D200)</f>
        <v/>
      </c>
      <c r="E200">
        <f>IF(D200="","",MAX(0,C200-D200))</f>
        <v/>
      </c>
      <c r="F200">
        <f>IF(D200="","PENDIENTE",IF(D200&lt;C200,"REPOSICIÓN","OK"))</f>
        <v/>
      </c>
      <c r="G200">
        <f>INVENTARIO!F200</f>
        <v/>
      </c>
    </row>
    <row r="201">
      <c r="A201">
        <f>INVENTARIO!A201</f>
        <v/>
      </c>
      <c r="B201">
        <f>INVENTARIO!B201</f>
        <v/>
      </c>
      <c r="C201">
        <f>INVENTARIO!C201</f>
        <v/>
      </c>
      <c r="D201">
        <f>IF(INVENTARIO!D201="","",INVENTARIO!D201)</f>
        <v/>
      </c>
      <c r="E201">
        <f>IF(D201="","",MAX(0,C201-D201))</f>
        <v/>
      </c>
      <c r="F201">
        <f>IF(D201="","PENDIENTE",IF(D201&lt;C201,"REPOSICIÓN","OK"))</f>
        <v/>
      </c>
      <c r="G201">
        <f>INVENTARIO!F201</f>
        <v/>
      </c>
    </row>
    <row r="202">
      <c r="A202">
        <f>INVENTARIO!A202</f>
        <v/>
      </c>
      <c r="B202">
        <f>INVENTARIO!B202</f>
        <v/>
      </c>
      <c r="C202">
        <f>INVENTARIO!C202</f>
        <v/>
      </c>
      <c r="D202">
        <f>IF(INVENTARIO!D202="","",INVENTARIO!D202)</f>
        <v/>
      </c>
      <c r="E202">
        <f>IF(D202="","",MAX(0,C202-D202))</f>
        <v/>
      </c>
      <c r="F202">
        <f>IF(D202="","PENDIENTE",IF(D202&lt;C202,"REPOSICIÓN","OK"))</f>
        <v/>
      </c>
      <c r="G202">
        <f>INVENTARIO!F202</f>
        <v/>
      </c>
    </row>
    <row r="203">
      <c r="A203">
        <f>INVENTARIO!A203</f>
        <v/>
      </c>
      <c r="B203">
        <f>INVENTARIO!B203</f>
        <v/>
      </c>
      <c r="C203">
        <f>INVENTARIO!C203</f>
        <v/>
      </c>
      <c r="D203">
        <f>IF(INVENTARIO!D203="","",INVENTARIO!D203)</f>
        <v/>
      </c>
      <c r="E203">
        <f>IF(D203="","",MAX(0,C203-D203))</f>
        <v/>
      </c>
      <c r="F203">
        <f>IF(D203="","PENDIENTE",IF(D203&lt;C203,"REPOSICIÓN","OK"))</f>
        <v/>
      </c>
      <c r="G203">
        <f>INVENTARIO!F203</f>
        <v/>
      </c>
    </row>
    <row r="204">
      <c r="A204">
        <f>INVENTARIO!A204</f>
        <v/>
      </c>
      <c r="B204">
        <f>INVENTARIO!B204</f>
        <v/>
      </c>
      <c r="C204">
        <f>INVENTARIO!C204</f>
        <v/>
      </c>
      <c r="D204">
        <f>IF(INVENTARIO!D204="","",INVENTARIO!D204)</f>
        <v/>
      </c>
      <c r="E204">
        <f>IF(D204="","",MAX(0,C204-D204))</f>
        <v/>
      </c>
      <c r="F204">
        <f>IF(D204="","PENDIENTE",IF(D204&lt;C204,"REPOSICIÓN","OK"))</f>
        <v/>
      </c>
      <c r="G204">
        <f>INVENTARIO!F204</f>
        <v/>
      </c>
    </row>
    <row r="205">
      <c r="A205">
        <f>INVENTARIO!A205</f>
        <v/>
      </c>
      <c r="B205">
        <f>INVENTARIO!B205</f>
        <v/>
      </c>
      <c r="C205">
        <f>INVENTARIO!C205</f>
        <v/>
      </c>
      <c r="D205">
        <f>IF(INVENTARIO!D205="","",INVENTARIO!D205)</f>
        <v/>
      </c>
      <c r="E205">
        <f>IF(D205="","",MAX(0,C205-D205))</f>
        <v/>
      </c>
      <c r="F205">
        <f>IF(D205="","PENDIENTE",IF(D205&lt;C205,"REPOSICIÓN","OK"))</f>
        <v/>
      </c>
      <c r="G205">
        <f>INVENTARIO!F205</f>
        <v/>
      </c>
    </row>
    <row r="206">
      <c r="A206">
        <f>INVENTARIO!A206</f>
        <v/>
      </c>
      <c r="B206">
        <f>INVENTARIO!B206</f>
        <v/>
      </c>
      <c r="C206">
        <f>INVENTARIO!C206</f>
        <v/>
      </c>
      <c r="D206">
        <f>IF(INVENTARIO!D206="","",INVENTARIO!D206)</f>
        <v/>
      </c>
      <c r="E206">
        <f>IF(D206="","",MAX(0,C206-D206))</f>
        <v/>
      </c>
      <c r="F206">
        <f>IF(D206="","PENDIENTE",IF(D206&lt;C206,"REPOSICIÓN","OK"))</f>
        <v/>
      </c>
      <c r="G206">
        <f>INVENTARIO!F206</f>
        <v/>
      </c>
    </row>
    <row r="207">
      <c r="A207">
        <f>INVENTARIO!A207</f>
        <v/>
      </c>
      <c r="B207">
        <f>INVENTARIO!B207</f>
        <v/>
      </c>
      <c r="C207">
        <f>INVENTARIO!C207</f>
        <v/>
      </c>
      <c r="D207">
        <f>IF(INVENTARIO!D207="","",INVENTARIO!D207)</f>
        <v/>
      </c>
      <c r="E207">
        <f>IF(D207="","",MAX(0,C207-D207))</f>
        <v/>
      </c>
      <c r="F207">
        <f>IF(D207="","PENDIENTE",IF(D207&lt;C207,"REPOSICIÓN","OK"))</f>
        <v/>
      </c>
      <c r="G207">
        <f>INVENTARIO!F207</f>
        <v/>
      </c>
    </row>
    <row r="208">
      <c r="A208">
        <f>INVENTARIO!A208</f>
        <v/>
      </c>
      <c r="B208">
        <f>INVENTARIO!B208</f>
        <v/>
      </c>
      <c r="C208">
        <f>INVENTARIO!C208</f>
        <v/>
      </c>
      <c r="D208">
        <f>IF(INVENTARIO!D208="","",INVENTARIO!D208)</f>
        <v/>
      </c>
      <c r="E208">
        <f>IF(D208="","",MAX(0,C208-D208))</f>
        <v/>
      </c>
      <c r="F208">
        <f>IF(D208="","PENDIENTE",IF(D208&lt;C208,"REPOSICIÓN","OK"))</f>
        <v/>
      </c>
      <c r="G208">
        <f>INVENTARIO!F208</f>
        <v/>
      </c>
    </row>
    <row r="209">
      <c r="A209">
        <f>INVENTARIO!A209</f>
        <v/>
      </c>
      <c r="B209">
        <f>INVENTARIO!B209</f>
        <v/>
      </c>
      <c r="C209">
        <f>INVENTARIO!C209</f>
        <v/>
      </c>
      <c r="D209">
        <f>IF(INVENTARIO!D209="","",INVENTARIO!D209)</f>
        <v/>
      </c>
      <c r="E209">
        <f>IF(D209="","",MAX(0,C209-D209))</f>
        <v/>
      </c>
      <c r="F209">
        <f>IF(D209="","PENDIENTE",IF(D209&lt;C209,"REPOSICIÓN","OK"))</f>
        <v/>
      </c>
      <c r="G209">
        <f>INVENTARIO!F209</f>
        <v/>
      </c>
    </row>
    <row r="210">
      <c r="A210">
        <f>INVENTARIO!A210</f>
        <v/>
      </c>
      <c r="B210">
        <f>INVENTARIO!B210</f>
        <v/>
      </c>
      <c r="C210">
        <f>INVENTARIO!C210</f>
        <v/>
      </c>
      <c r="D210">
        <f>IF(INVENTARIO!D210="","",INVENTARIO!D210)</f>
        <v/>
      </c>
      <c r="E210">
        <f>IF(D210="","",MAX(0,C210-D210))</f>
        <v/>
      </c>
      <c r="F210">
        <f>IF(D210="","PENDIENTE",IF(D210&lt;C210,"REPOSICIÓN","OK"))</f>
        <v/>
      </c>
      <c r="G210">
        <f>INVENTARIO!F210</f>
        <v/>
      </c>
    </row>
    <row r="211">
      <c r="A211">
        <f>INVENTARIO!A211</f>
        <v/>
      </c>
      <c r="B211">
        <f>INVENTARIO!B211</f>
        <v/>
      </c>
      <c r="C211">
        <f>INVENTARIO!C211</f>
        <v/>
      </c>
      <c r="D211">
        <f>IF(INVENTARIO!D211="","",INVENTARIO!D211)</f>
        <v/>
      </c>
      <c r="E211">
        <f>IF(D211="","",MAX(0,C211-D211))</f>
        <v/>
      </c>
      <c r="F211">
        <f>IF(D211="","PENDIENTE",IF(D211&lt;C211,"REPOSICIÓN","OK"))</f>
        <v/>
      </c>
      <c r="G211">
        <f>INVENTARIO!F211</f>
        <v/>
      </c>
    </row>
    <row r="212">
      <c r="A212">
        <f>INVENTARIO!A212</f>
        <v/>
      </c>
      <c r="B212">
        <f>INVENTARIO!B212</f>
        <v/>
      </c>
      <c r="C212">
        <f>INVENTARIO!C212</f>
        <v/>
      </c>
      <c r="D212">
        <f>IF(INVENTARIO!D212="","",INVENTARIO!D212)</f>
        <v/>
      </c>
      <c r="E212">
        <f>IF(D212="","",MAX(0,C212-D212))</f>
        <v/>
      </c>
      <c r="F212">
        <f>IF(D212="","PENDIENTE",IF(D212&lt;C212,"REPOSICIÓN","OK"))</f>
        <v/>
      </c>
      <c r="G212">
        <f>INVENTARIO!F212</f>
        <v/>
      </c>
    </row>
    <row r="213">
      <c r="A213">
        <f>INVENTARIO!A213</f>
        <v/>
      </c>
      <c r="B213">
        <f>INVENTARIO!B213</f>
        <v/>
      </c>
      <c r="C213">
        <f>INVENTARIO!C213</f>
        <v/>
      </c>
      <c r="D213">
        <f>IF(INVENTARIO!D213="","",INVENTARIO!D213)</f>
        <v/>
      </c>
      <c r="E213">
        <f>IF(D213="","",MAX(0,C213-D213))</f>
        <v/>
      </c>
      <c r="F213">
        <f>IF(D213="","PENDIENTE",IF(D213&lt;C213,"REPOSICIÓN","OK"))</f>
        <v/>
      </c>
      <c r="G213">
        <f>INVENTARIO!F213</f>
        <v/>
      </c>
    </row>
    <row r="214">
      <c r="A214">
        <f>INVENTARIO!A214</f>
        <v/>
      </c>
      <c r="B214">
        <f>INVENTARIO!B214</f>
        <v/>
      </c>
      <c r="C214">
        <f>INVENTARIO!C214</f>
        <v/>
      </c>
      <c r="D214">
        <f>IF(INVENTARIO!D214="","",INVENTARIO!D214)</f>
        <v/>
      </c>
      <c r="E214">
        <f>IF(D214="","",MAX(0,C214-D214))</f>
        <v/>
      </c>
      <c r="F214">
        <f>IF(D214="","PENDIENTE",IF(D214&lt;C214,"REPOSICIÓN","OK"))</f>
        <v/>
      </c>
      <c r="G214">
        <f>INVENTARIO!F214</f>
        <v/>
      </c>
    </row>
    <row r="215">
      <c r="A215">
        <f>INVENTARIO!A215</f>
        <v/>
      </c>
      <c r="B215">
        <f>INVENTARIO!B215</f>
        <v/>
      </c>
      <c r="C215">
        <f>INVENTARIO!C215</f>
        <v/>
      </c>
      <c r="D215">
        <f>IF(INVENTARIO!D215="","",INVENTARIO!D215)</f>
        <v/>
      </c>
      <c r="E215">
        <f>IF(D215="","",MAX(0,C215-D215))</f>
        <v/>
      </c>
      <c r="F215">
        <f>IF(D215="","PENDIENTE",IF(D215&lt;C215,"REPOSICIÓN","OK"))</f>
        <v/>
      </c>
      <c r="G215">
        <f>INVENTARIO!F215</f>
        <v/>
      </c>
    </row>
    <row r="216">
      <c r="A216">
        <f>INVENTARIO!A216</f>
        <v/>
      </c>
      <c r="B216">
        <f>INVENTARIO!B216</f>
        <v/>
      </c>
      <c r="C216">
        <f>INVENTARIO!C216</f>
        <v/>
      </c>
      <c r="D216">
        <f>IF(INVENTARIO!D216="","",INVENTARIO!D216)</f>
        <v/>
      </c>
      <c r="E216">
        <f>IF(D216="","",MAX(0,C216-D216))</f>
        <v/>
      </c>
      <c r="F216">
        <f>IF(D216="","PENDIENTE",IF(D216&lt;C216,"REPOSICIÓN","OK"))</f>
        <v/>
      </c>
      <c r="G216">
        <f>INVENTARIO!F216</f>
        <v/>
      </c>
    </row>
    <row r="217">
      <c r="A217">
        <f>INVENTARIO!A217</f>
        <v/>
      </c>
      <c r="B217">
        <f>INVENTARIO!B217</f>
        <v/>
      </c>
      <c r="C217">
        <f>INVENTARIO!C217</f>
        <v/>
      </c>
      <c r="D217">
        <f>IF(INVENTARIO!D217="","",INVENTARIO!D217)</f>
        <v/>
      </c>
      <c r="E217">
        <f>IF(D217="","",MAX(0,C217-D217))</f>
        <v/>
      </c>
      <c r="F217">
        <f>IF(D217="","PENDIENTE",IF(D217&lt;C217,"REPOSICIÓN","OK"))</f>
        <v/>
      </c>
      <c r="G217">
        <f>INVENTARIO!F217</f>
        <v/>
      </c>
    </row>
    <row r="218">
      <c r="A218">
        <f>INVENTARIO!A218</f>
        <v/>
      </c>
      <c r="B218">
        <f>INVENTARIO!B218</f>
        <v/>
      </c>
      <c r="C218">
        <f>INVENTARIO!C218</f>
        <v/>
      </c>
      <c r="D218">
        <f>IF(INVENTARIO!D218="","",INVENTARIO!D218)</f>
        <v/>
      </c>
      <c r="E218">
        <f>IF(D218="","",MAX(0,C218-D218))</f>
        <v/>
      </c>
      <c r="F218">
        <f>IF(D218="","PENDIENTE",IF(D218&lt;C218,"REPOSICIÓN","OK"))</f>
        <v/>
      </c>
      <c r="G218">
        <f>INVENTARIO!F218</f>
        <v/>
      </c>
    </row>
    <row r="219">
      <c r="A219">
        <f>INVENTARIO!A219</f>
        <v/>
      </c>
      <c r="B219">
        <f>INVENTARIO!B219</f>
        <v/>
      </c>
      <c r="C219">
        <f>INVENTARIO!C219</f>
        <v/>
      </c>
      <c r="D219">
        <f>IF(INVENTARIO!D219="","",INVENTARIO!D219)</f>
        <v/>
      </c>
      <c r="E219">
        <f>IF(D219="","",MAX(0,C219-D219))</f>
        <v/>
      </c>
      <c r="F219">
        <f>IF(D219="","PENDIENTE",IF(D219&lt;C219,"REPOSICIÓN","OK"))</f>
        <v/>
      </c>
      <c r="G219">
        <f>INVENTARIO!F219</f>
        <v/>
      </c>
    </row>
    <row r="220">
      <c r="A220">
        <f>INVENTARIO!A220</f>
        <v/>
      </c>
      <c r="B220">
        <f>INVENTARIO!B220</f>
        <v/>
      </c>
      <c r="C220">
        <f>INVENTARIO!C220</f>
        <v/>
      </c>
      <c r="D220">
        <f>IF(INVENTARIO!D220="","",INVENTARIO!D220)</f>
        <v/>
      </c>
      <c r="E220">
        <f>IF(D220="","",MAX(0,C220-D220))</f>
        <v/>
      </c>
      <c r="F220">
        <f>IF(D220="","PENDIENTE",IF(D220&lt;C220,"REPOSICIÓN","OK"))</f>
        <v/>
      </c>
      <c r="G220">
        <f>INVENTARIO!F220</f>
        <v/>
      </c>
    </row>
    <row r="221">
      <c r="A221">
        <f>INVENTARIO!A221</f>
        <v/>
      </c>
      <c r="B221">
        <f>INVENTARIO!B221</f>
        <v/>
      </c>
      <c r="C221">
        <f>INVENTARIO!C221</f>
        <v/>
      </c>
      <c r="D221">
        <f>IF(INVENTARIO!D221="","",INVENTARIO!D221)</f>
        <v/>
      </c>
      <c r="E221">
        <f>IF(D221="","",MAX(0,C221-D221))</f>
        <v/>
      </c>
      <c r="F221">
        <f>IF(D221="","PENDIENTE",IF(D221&lt;C221,"REPOSICIÓN","OK"))</f>
        <v/>
      </c>
      <c r="G221">
        <f>INVENTARIO!F221</f>
        <v/>
      </c>
    </row>
    <row r="222">
      <c r="A222">
        <f>INVENTARIO!A222</f>
        <v/>
      </c>
      <c r="B222">
        <f>INVENTARIO!B222</f>
        <v/>
      </c>
      <c r="C222">
        <f>INVENTARIO!C222</f>
        <v/>
      </c>
      <c r="D222">
        <f>IF(INVENTARIO!D222="","",INVENTARIO!D222)</f>
        <v/>
      </c>
      <c r="E222">
        <f>IF(D222="","",MAX(0,C222-D222))</f>
        <v/>
      </c>
      <c r="F222">
        <f>IF(D222="","PENDIENTE",IF(D222&lt;C222,"REPOSICIÓN","OK"))</f>
        <v/>
      </c>
      <c r="G222">
        <f>INVENTARIO!F222</f>
        <v/>
      </c>
    </row>
    <row r="223">
      <c r="A223">
        <f>INVENTARIO!A223</f>
        <v/>
      </c>
      <c r="B223">
        <f>INVENTARIO!B223</f>
        <v/>
      </c>
      <c r="C223">
        <f>INVENTARIO!C223</f>
        <v/>
      </c>
      <c r="D223">
        <f>IF(INVENTARIO!D223="","",INVENTARIO!D223)</f>
        <v/>
      </c>
      <c r="E223">
        <f>IF(D223="","",MAX(0,C223-D223))</f>
        <v/>
      </c>
      <c r="F223">
        <f>IF(D223="","PENDIENTE",IF(D223&lt;C223,"REPOSICIÓN","OK"))</f>
        <v/>
      </c>
      <c r="G223">
        <f>INVENTARIO!F223</f>
        <v/>
      </c>
    </row>
    <row r="224">
      <c r="A224">
        <f>INVENTARIO!A224</f>
        <v/>
      </c>
      <c r="B224">
        <f>INVENTARIO!B224</f>
        <v/>
      </c>
      <c r="C224">
        <f>INVENTARIO!C224</f>
        <v/>
      </c>
      <c r="D224">
        <f>IF(INVENTARIO!D224="","",INVENTARIO!D224)</f>
        <v/>
      </c>
      <c r="E224">
        <f>IF(D224="","",MAX(0,C224-D224))</f>
        <v/>
      </c>
      <c r="F224">
        <f>IF(D224="","PENDIENTE",IF(D224&lt;C224,"REPOSICIÓN","OK"))</f>
        <v/>
      </c>
      <c r="G224">
        <f>INVENTARIO!F224</f>
        <v/>
      </c>
    </row>
    <row r="225">
      <c r="A225">
        <f>INVENTARIO!A225</f>
        <v/>
      </c>
      <c r="B225">
        <f>INVENTARIO!B225</f>
        <v/>
      </c>
      <c r="C225">
        <f>INVENTARIO!C225</f>
        <v/>
      </c>
      <c r="D225">
        <f>IF(INVENTARIO!D225="","",INVENTARIO!D225)</f>
        <v/>
      </c>
      <c r="E225">
        <f>IF(D225="","",MAX(0,C225-D225))</f>
        <v/>
      </c>
      <c r="F225">
        <f>IF(D225="","PENDIENTE",IF(D225&lt;C225,"REPOSICIÓN","OK"))</f>
        <v/>
      </c>
      <c r="G225">
        <f>INVENTARIO!F225</f>
        <v/>
      </c>
    </row>
    <row r="226">
      <c r="A226">
        <f>INVENTARIO!A226</f>
        <v/>
      </c>
      <c r="B226">
        <f>INVENTARIO!B226</f>
        <v/>
      </c>
      <c r="C226">
        <f>INVENTARIO!C226</f>
        <v/>
      </c>
      <c r="D226">
        <f>IF(INVENTARIO!D226="","",INVENTARIO!D226)</f>
        <v/>
      </c>
      <c r="E226">
        <f>IF(D226="","",MAX(0,C226-D226))</f>
        <v/>
      </c>
      <c r="F226">
        <f>IF(D226="","PENDIENTE",IF(D226&lt;C226,"REPOSICIÓN","OK"))</f>
        <v/>
      </c>
      <c r="G226">
        <f>INVENTARIO!F226</f>
        <v/>
      </c>
    </row>
    <row r="227">
      <c r="A227">
        <f>INVENTARIO!A227</f>
        <v/>
      </c>
      <c r="B227">
        <f>INVENTARIO!B227</f>
        <v/>
      </c>
      <c r="C227">
        <f>INVENTARIO!C227</f>
        <v/>
      </c>
      <c r="D227">
        <f>IF(INVENTARIO!D227="","",INVENTARIO!D227)</f>
        <v/>
      </c>
      <c r="E227">
        <f>IF(D227="","",MAX(0,C227-D227))</f>
        <v/>
      </c>
      <c r="F227">
        <f>IF(D227="","PENDIENTE",IF(D227&lt;C227,"REPOSICIÓN","OK"))</f>
        <v/>
      </c>
      <c r="G227">
        <f>INVENTARIO!F227</f>
        <v/>
      </c>
    </row>
    <row r="228">
      <c r="A228">
        <f>INVENTARIO!A228</f>
        <v/>
      </c>
      <c r="B228">
        <f>INVENTARIO!B228</f>
        <v/>
      </c>
      <c r="C228">
        <f>INVENTARIO!C228</f>
        <v/>
      </c>
      <c r="D228">
        <f>IF(INVENTARIO!D228="","",INVENTARIO!D228)</f>
        <v/>
      </c>
      <c r="E228">
        <f>IF(D228="","",MAX(0,C228-D228))</f>
        <v/>
      </c>
      <c r="F228">
        <f>IF(D228="","PENDIENTE",IF(D228&lt;C228,"REPOSICIÓN","OK"))</f>
        <v/>
      </c>
      <c r="G228">
        <f>INVENTARIO!F228</f>
        <v/>
      </c>
    </row>
    <row r="229">
      <c r="A229">
        <f>INVENTARIO!A229</f>
        <v/>
      </c>
      <c r="B229">
        <f>INVENTARIO!B229</f>
        <v/>
      </c>
      <c r="C229">
        <f>INVENTARIO!C229</f>
        <v/>
      </c>
      <c r="D229">
        <f>IF(INVENTARIO!D229="","",INVENTARIO!D229)</f>
        <v/>
      </c>
      <c r="E229">
        <f>IF(D229="","",MAX(0,C229-D229))</f>
        <v/>
      </c>
      <c r="F229">
        <f>IF(D229="","PENDIENTE",IF(D229&lt;C229,"REPOSICIÓN","OK"))</f>
        <v/>
      </c>
      <c r="G229">
        <f>INVENTARIO!F229</f>
        <v/>
      </c>
    </row>
    <row r="230">
      <c r="A230">
        <f>INVENTARIO!A230</f>
        <v/>
      </c>
      <c r="B230">
        <f>INVENTARIO!B230</f>
        <v/>
      </c>
      <c r="C230">
        <f>INVENTARIO!C230</f>
        <v/>
      </c>
      <c r="D230">
        <f>IF(INVENTARIO!D230="","",INVENTARIO!D230)</f>
        <v/>
      </c>
      <c r="E230">
        <f>IF(D230="","",MAX(0,C230-D230))</f>
        <v/>
      </c>
      <c r="F230">
        <f>IF(D230="","PENDIENTE",IF(D230&lt;C230,"REPOSICIÓN","OK"))</f>
        <v/>
      </c>
      <c r="G230">
        <f>INVENTARIO!F230</f>
        <v/>
      </c>
    </row>
    <row r="231">
      <c r="A231">
        <f>INVENTARIO!A231</f>
        <v/>
      </c>
      <c r="B231">
        <f>INVENTARIO!B231</f>
        <v/>
      </c>
      <c r="C231">
        <f>INVENTARIO!C231</f>
        <v/>
      </c>
      <c r="D231">
        <f>IF(INVENTARIO!D231="","",INVENTARIO!D231)</f>
        <v/>
      </c>
      <c r="E231">
        <f>IF(D231="","",MAX(0,C231-D231))</f>
        <v/>
      </c>
      <c r="F231">
        <f>IF(D231="","PENDIENTE",IF(D231&lt;C231,"REPOSICIÓN","OK"))</f>
        <v/>
      </c>
      <c r="G231">
        <f>INVENTARIO!F231</f>
        <v/>
      </c>
    </row>
    <row r="232">
      <c r="A232">
        <f>INVENTARIO!A232</f>
        <v/>
      </c>
      <c r="B232">
        <f>INVENTARIO!B232</f>
        <v/>
      </c>
      <c r="C232">
        <f>INVENTARIO!C232</f>
        <v/>
      </c>
      <c r="D232">
        <f>IF(INVENTARIO!D232="","",INVENTARIO!D232)</f>
        <v/>
      </c>
      <c r="E232">
        <f>IF(D232="","",MAX(0,C232-D232))</f>
        <v/>
      </c>
      <c r="F232">
        <f>IF(D232="","PENDIENTE",IF(D232&lt;C232,"REPOSICIÓN","OK"))</f>
        <v/>
      </c>
      <c r="G232">
        <f>INVENTARIO!F232</f>
        <v/>
      </c>
    </row>
    <row r="233">
      <c r="A233">
        <f>INVENTARIO!A233</f>
        <v/>
      </c>
      <c r="B233">
        <f>INVENTARIO!B233</f>
        <v/>
      </c>
      <c r="C233">
        <f>INVENTARIO!C233</f>
        <v/>
      </c>
      <c r="D233">
        <f>IF(INVENTARIO!D233="","",INVENTARIO!D233)</f>
        <v/>
      </c>
      <c r="E233">
        <f>IF(D233="","",MAX(0,C233-D233))</f>
        <v/>
      </c>
      <c r="F233">
        <f>IF(D233="","PENDIENTE",IF(D233&lt;C233,"REPOSICIÓN","OK"))</f>
        <v/>
      </c>
      <c r="G233">
        <f>INVENTARIO!F233</f>
        <v/>
      </c>
    </row>
    <row r="234">
      <c r="A234">
        <f>INVENTARIO!A234</f>
        <v/>
      </c>
      <c r="B234">
        <f>INVENTARIO!B234</f>
        <v/>
      </c>
      <c r="C234">
        <f>INVENTARIO!C234</f>
        <v/>
      </c>
      <c r="D234">
        <f>IF(INVENTARIO!D234="","",INVENTARIO!D234)</f>
        <v/>
      </c>
      <c r="E234">
        <f>IF(D234="","",MAX(0,C234-D234))</f>
        <v/>
      </c>
      <c r="F234">
        <f>IF(D234="","PENDIENTE",IF(D234&lt;C234,"REPOSICIÓN","OK"))</f>
        <v/>
      </c>
      <c r="G234">
        <f>INVENTARIO!F234</f>
        <v/>
      </c>
    </row>
    <row r="235">
      <c r="A235">
        <f>INVENTARIO!A235</f>
        <v/>
      </c>
      <c r="B235">
        <f>INVENTARIO!B235</f>
        <v/>
      </c>
      <c r="C235">
        <f>INVENTARIO!C235</f>
        <v/>
      </c>
      <c r="D235">
        <f>IF(INVENTARIO!D235="","",INVENTARIO!D235)</f>
        <v/>
      </c>
      <c r="E235">
        <f>IF(D235="","",MAX(0,C235-D235))</f>
        <v/>
      </c>
      <c r="F235">
        <f>IF(D235="","PENDIENTE",IF(D235&lt;C235,"REPOSICIÓN","OK"))</f>
        <v/>
      </c>
      <c r="G235">
        <f>INVENTARIO!F235</f>
        <v/>
      </c>
    </row>
    <row r="236">
      <c r="A236">
        <f>INVENTARIO!A236</f>
        <v/>
      </c>
      <c r="B236">
        <f>INVENTARIO!B236</f>
        <v/>
      </c>
      <c r="C236">
        <f>INVENTARIO!C236</f>
        <v/>
      </c>
      <c r="D236">
        <f>IF(INVENTARIO!D236="","",INVENTARIO!D236)</f>
        <v/>
      </c>
      <c r="E236">
        <f>IF(D236="","",MAX(0,C236-D236))</f>
        <v/>
      </c>
      <c r="F236">
        <f>IF(D236="","PENDIENTE",IF(D236&lt;C236,"REPOSICIÓN","OK"))</f>
        <v/>
      </c>
      <c r="G236">
        <f>INVENTARIO!F236</f>
        <v/>
      </c>
    </row>
    <row r="237">
      <c r="A237">
        <f>INVENTARIO!A237</f>
        <v/>
      </c>
      <c r="B237">
        <f>INVENTARIO!B237</f>
        <v/>
      </c>
      <c r="C237">
        <f>INVENTARIO!C237</f>
        <v/>
      </c>
      <c r="D237">
        <f>IF(INVENTARIO!D237="","",INVENTARIO!D237)</f>
        <v/>
      </c>
      <c r="E237">
        <f>IF(D237="","",MAX(0,C237-D237))</f>
        <v/>
      </c>
      <c r="F237">
        <f>IF(D237="","PENDIENTE",IF(D237&lt;C237,"REPOSICIÓN","OK"))</f>
        <v/>
      </c>
      <c r="G237">
        <f>INVENTARIO!F237</f>
        <v/>
      </c>
    </row>
    <row r="238">
      <c r="A238">
        <f>INVENTARIO!A238</f>
        <v/>
      </c>
      <c r="B238">
        <f>INVENTARIO!B238</f>
        <v/>
      </c>
      <c r="C238">
        <f>INVENTARIO!C238</f>
        <v/>
      </c>
      <c r="D238">
        <f>IF(INVENTARIO!D238="","",INVENTARIO!D238)</f>
        <v/>
      </c>
      <c r="E238">
        <f>IF(D238="","",MAX(0,C238-D238))</f>
        <v/>
      </c>
      <c r="F238">
        <f>IF(D238="","PENDIENTE",IF(D238&lt;C238,"REPOSICIÓN","OK"))</f>
        <v/>
      </c>
      <c r="G238">
        <f>INVENTARIO!F238</f>
        <v/>
      </c>
    </row>
    <row r="239">
      <c r="A239">
        <f>INVENTARIO!A239</f>
        <v/>
      </c>
      <c r="B239">
        <f>INVENTARIO!B239</f>
        <v/>
      </c>
      <c r="C239">
        <f>INVENTARIO!C239</f>
        <v/>
      </c>
      <c r="D239">
        <f>IF(INVENTARIO!D239="","",INVENTARIO!D239)</f>
        <v/>
      </c>
      <c r="E239">
        <f>IF(D239="","",MAX(0,C239-D239))</f>
        <v/>
      </c>
      <c r="F239">
        <f>IF(D239="","PENDIENTE",IF(D239&lt;C239,"REPOSICIÓN","OK"))</f>
        <v/>
      </c>
      <c r="G239">
        <f>INVENTARIO!F239</f>
        <v/>
      </c>
    </row>
    <row r="240">
      <c r="A240">
        <f>INVENTARIO!A240</f>
        <v/>
      </c>
      <c r="B240">
        <f>INVENTARIO!B240</f>
        <v/>
      </c>
      <c r="C240">
        <f>INVENTARIO!C240</f>
        <v/>
      </c>
      <c r="D240">
        <f>IF(INVENTARIO!D240="","",INVENTARIO!D240)</f>
        <v/>
      </c>
      <c r="E240">
        <f>IF(D240="","",MAX(0,C240-D240))</f>
        <v/>
      </c>
      <c r="F240">
        <f>IF(D240="","PENDIENTE",IF(D240&lt;C240,"REPOSICIÓN","OK"))</f>
        <v/>
      </c>
      <c r="G240">
        <f>INVENTARIO!F240</f>
        <v/>
      </c>
    </row>
    <row r="241">
      <c r="A241">
        <f>INVENTARIO!A241</f>
        <v/>
      </c>
      <c r="B241">
        <f>INVENTARIO!B241</f>
        <v/>
      </c>
      <c r="C241">
        <f>INVENTARIO!C241</f>
        <v/>
      </c>
      <c r="D241">
        <f>IF(INVENTARIO!D241="","",INVENTARIO!D241)</f>
        <v/>
      </c>
      <c r="E241">
        <f>IF(D241="","",MAX(0,C241-D241))</f>
        <v/>
      </c>
      <c r="F241">
        <f>IF(D241="","PENDIENTE",IF(D241&lt;C241,"REPOSICIÓN","OK"))</f>
        <v/>
      </c>
      <c r="G241">
        <f>INVENTARIO!F241</f>
        <v/>
      </c>
    </row>
    <row r="242">
      <c r="A242">
        <f>INVENTARIO!A242</f>
        <v/>
      </c>
      <c r="B242">
        <f>INVENTARIO!B242</f>
        <v/>
      </c>
      <c r="C242">
        <f>INVENTARIO!C242</f>
        <v/>
      </c>
      <c r="D242">
        <f>IF(INVENTARIO!D242="","",INVENTARIO!D242)</f>
        <v/>
      </c>
      <c r="E242">
        <f>IF(D242="","",MAX(0,C242-D242))</f>
        <v/>
      </c>
      <c r="F242">
        <f>IF(D242="","PENDIENTE",IF(D242&lt;C242,"REPOSICIÓN","OK"))</f>
        <v/>
      </c>
      <c r="G242">
        <f>INVENTARIO!F242</f>
        <v/>
      </c>
    </row>
    <row r="243">
      <c r="A243">
        <f>INVENTARIO!A243</f>
        <v/>
      </c>
      <c r="B243">
        <f>INVENTARIO!B243</f>
        <v/>
      </c>
      <c r="C243">
        <f>INVENTARIO!C243</f>
        <v/>
      </c>
      <c r="D243">
        <f>IF(INVENTARIO!D243="","",INVENTARIO!D243)</f>
        <v/>
      </c>
      <c r="E243">
        <f>IF(D243="","",MAX(0,C243-D243))</f>
        <v/>
      </c>
      <c r="F243">
        <f>IF(D243="","PENDIENTE",IF(D243&lt;C243,"REPOSICIÓN","OK"))</f>
        <v/>
      </c>
      <c r="G243">
        <f>INVENTARIO!F243</f>
        <v/>
      </c>
    </row>
    <row r="244">
      <c r="A244">
        <f>INVENTARIO!A244</f>
        <v/>
      </c>
      <c r="B244">
        <f>INVENTARIO!B244</f>
        <v/>
      </c>
      <c r="C244">
        <f>INVENTARIO!C244</f>
        <v/>
      </c>
      <c r="D244">
        <f>IF(INVENTARIO!D244="","",INVENTARIO!D244)</f>
        <v/>
      </c>
      <c r="E244">
        <f>IF(D244="","",MAX(0,C244-D244))</f>
        <v/>
      </c>
      <c r="F244">
        <f>IF(D244="","PENDIENTE",IF(D244&lt;C244,"REPOSICIÓN","OK"))</f>
        <v/>
      </c>
      <c r="G244">
        <f>INVENTARIO!F244</f>
        <v/>
      </c>
    </row>
    <row r="245">
      <c r="A245">
        <f>INVENTARIO!A245</f>
        <v/>
      </c>
      <c r="B245">
        <f>INVENTARIO!B245</f>
        <v/>
      </c>
      <c r="C245">
        <f>INVENTARIO!C245</f>
        <v/>
      </c>
      <c r="D245">
        <f>IF(INVENTARIO!D245="","",INVENTARIO!D245)</f>
        <v/>
      </c>
      <c r="E245">
        <f>IF(D245="","",MAX(0,C245-D245))</f>
        <v/>
      </c>
      <c r="F245">
        <f>IF(D245="","PENDIENTE",IF(D245&lt;C245,"REPOSICIÓN","OK"))</f>
        <v/>
      </c>
      <c r="G245">
        <f>INVENTARIO!F245</f>
        <v/>
      </c>
    </row>
    <row r="246">
      <c r="A246">
        <f>INVENTARIO!A246</f>
        <v/>
      </c>
      <c r="B246">
        <f>INVENTARIO!B246</f>
        <v/>
      </c>
      <c r="C246">
        <f>INVENTARIO!C246</f>
        <v/>
      </c>
      <c r="D246">
        <f>IF(INVENTARIO!D246="","",INVENTARIO!D246)</f>
        <v/>
      </c>
      <c r="E246">
        <f>IF(D246="","",MAX(0,C246-D246))</f>
        <v/>
      </c>
      <c r="F246">
        <f>IF(D246="","PENDIENTE",IF(D246&lt;C246,"REPOSICIÓN","OK"))</f>
        <v/>
      </c>
      <c r="G246">
        <f>INVENTARIO!F246</f>
        <v/>
      </c>
    </row>
    <row r="247">
      <c r="A247">
        <f>INVENTARIO!A247</f>
        <v/>
      </c>
      <c r="B247">
        <f>INVENTARIO!B247</f>
        <v/>
      </c>
      <c r="C247">
        <f>INVENTARIO!C247</f>
        <v/>
      </c>
      <c r="D247">
        <f>IF(INVENTARIO!D247="","",INVENTARIO!D247)</f>
        <v/>
      </c>
      <c r="E247">
        <f>IF(D247="","",MAX(0,C247-D247))</f>
        <v/>
      </c>
      <c r="F247">
        <f>IF(D247="","PENDIENTE",IF(D247&lt;C247,"REPOSICIÓN","OK"))</f>
        <v/>
      </c>
      <c r="G247">
        <f>INVENTARIO!F247</f>
        <v/>
      </c>
    </row>
    <row r="248">
      <c r="A248">
        <f>INVENTARIO!A248</f>
        <v/>
      </c>
      <c r="B248">
        <f>INVENTARIO!B248</f>
        <v/>
      </c>
      <c r="C248">
        <f>INVENTARIO!C248</f>
        <v/>
      </c>
      <c r="D248">
        <f>IF(INVENTARIO!D248="","",INVENTARIO!D248)</f>
        <v/>
      </c>
      <c r="E248">
        <f>IF(D248="","",MAX(0,C248-D248))</f>
        <v/>
      </c>
      <c r="F248">
        <f>IF(D248="","PENDIENTE",IF(D248&lt;C248,"REPOSICIÓN","OK"))</f>
        <v/>
      </c>
      <c r="G248">
        <f>INVENTARIO!F248</f>
        <v/>
      </c>
    </row>
    <row r="249">
      <c r="A249">
        <f>INVENTARIO!A249</f>
        <v/>
      </c>
      <c r="B249">
        <f>INVENTARIO!B249</f>
        <v/>
      </c>
      <c r="C249">
        <f>INVENTARIO!C249</f>
        <v/>
      </c>
      <c r="D249">
        <f>IF(INVENTARIO!D249="","",INVENTARIO!D249)</f>
        <v/>
      </c>
      <c r="E249">
        <f>IF(D249="","",MAX(0,C249-D249))</f>
        <v/>
      </c>
      <c r="F249">
        <f>IF(D249="","PENDIENTE",IF(D249&lt;C249,"REPOSICIÓN","OK"))</f>
        <v/>
      </c>
      <c r="G249">
        <f>INVENTARIO!F249</f>
        <v/>
      </c>
    </row>
    <row r="250">
      <c r="A250">
        <f>INVENTARIO!A250</f>
        <v/>
      </c>
      <c r="B250">
        <f>INVENTARIO!B250</f>
        <v/>
      </c>
      <c r="C250">
        <f>INVENTARIO!C250</f>
        <v/>
      </c>
      <c r="D250">
        <f>IF(INVENTARIO!D250="","",INVENTARIO!D250)</f>
        <v/>
      </c>
      <c r="E250">
        <f>IF(D250="","",MAX(0,C250-D250))</f>
        <v/>
      </c>
      <c r="F250">
        <f>IF(D250="","PENDIENTE",IF(D250&lt;C250,"REPOSICIÓN","OK"))</f>
        <v/>
      </c>
      <c r="G250">
        <f>INVENTARIO!F250</f>
        <v/>
      </c>
    </row>
    <row r="251">
      <c r="A251">
        <f>INVENTARIO!A251</f>
        <v/>
      </c>
      <c r="B251">
        <f>INVENTARIO!B251</f>
        <v/>
      </c>
      <c r="C251">
        <f>INVENTARIO!C251</f>
        <v/>
      </c>
      <c r="D251">
        <f>IF(INVENTARIO!D251="","",INVENTARIO!D251)</f>
        <v/>
      </c>
      <c r="E251">
        <f>IF(D251="","",MAX(0,C251-D251))</f>
        <v/>
      </c>
      <c r="F251">
        <f>IF(D251="","PENDIENTE",IF(D251&lt;C251,"REPOSICIÓN","OK"))</f>
        <v/>
      </c>
      <c r="G251">
        <f>INVENTARIO!F251</f>
        <v/>
      </c>
    </row>
    <row r="252">
      <c r="A252">
        <f>INVENTARIO!A252</f>
        <v/>
      </c>
      <c r="B252">
        <f>INVENTARIO!B252</f>
        <v/>
      </c>
      <c r="C252">
        <f>INVENTARIO!C252</f>
        <v/>
      </c>
      <c r="D252">
        <f>IF(INVENTARIO!D252="","",INVENTARIO!D252)</f>
        <v/>
      </c>
      <c r="E252">
        <f>IF(D252="","",MAX(0,C252-D252))</f>
        <v/>
      </c>
      <c r="F252">
        <f>IF(D252="","PENDIENTE",IF(D252&lt;C252,"REPOSICIÓN","OK"))</f>
        <v/>
      </c>
      <c r="G252">
        <f>INVENTARIO!F252</f>
        <v/>
      </c>
    </row>
    <row r="253">
      <c r="A253">
        <f>INVENTARIO!A253</f>
        <v/>
      </c>
      <c r="B253">
        <f>INVENTARIO!B253</f>
        <v/>
      </c>
      <c r="C253">
        <f>INVENTARIO!C253</f>
        <v/>
      </c>
      <c r="D253">
        <f>IF(INVENTARIO!D253="","",INVENTARIO!D253)</f>
        <v/>
      </c>
      <c r="E253">
        <f>IF(D253="","",MAX(0,C253-D253))</f>
        <v/>
      </c>
      <c r="F253">
        <f>IF(D253="","PENDIENTE",IF(D253&lt;C253,"REPOSICIÓN","OK"))</f>
        <v/>
      </c>
      <c r="G253">
        <f>INVENTARIO!F253</f>
        <v/>
      </c>
    </row>
    <row r="254">
      <c r="A254">
        <f>INVENTARIO!A254</f>
        <v/>
      </c>
      <c r="B254">
        <f>INVENTARIO!B254</f>
        <v/>
      </c>
      <c r="C254">
        <f>INVENTARIO!C254</f>
        <v/>
      </c>
      <c r="D254">
        <f>IF(INVENTARIO!D254="","",INVENTARIO!D254)</f>
        <v/>
      </c>
      <c r="E254">
        <f>IF(D254="","",MAX(0,C254-D254))</f>
        <v/>
      </c>
      <c r="F254">
        <f>IF(D254="","PENDIENTE",IF(D254&lt;C254,"REPOSICIÓN","OK"))</f>
        <v/>
      </c>
      <c r="G254">
        <f>INVENTARIO!F254</f>
        <v/>
      </c>
    </row>
    <row r="255">
      <c r="A255">
        <f>INVENTARIO!A255</f>
        <v/>
      </c>
      <c r="B255">
        <f>INVENTARIO!B255</f>
        <v/>
      </c>
      <c r="C255">
        <f>INVENTARIO!C255</f>
        <v/>
      </c>
      <c r="D255">
        <f>IF(INVENTARIO!D255="","",INVENTARIO!D255)</f>
        <v/>
      </c>
      <c r="E255">
        <f>IF(D255="","",MAX(0,C255-D255))</f>
        <v/>
      </c>
      <c r="F255">
        <f>IF(D255="","PENDIENTE",IF(D255&lt;C255,"REPOSICIÓN","OK"))</f>
        <v/>
      </c>
      <c r="G255">
        <f>INVENTARIO!F255</f>
        <v/>
      </c>
    </row>
    <row r="256">
      <c r="A256">
        <f>INVENTARIO!A256</f>
        <v/>
      </c>
      <c r="B256">
        <f>INVENTARIO!B256</f>
        <v/>
      </c>
      <c r="C256">
        <f>INVENTARIO!C256</f>
        <v/>
      </c>
      <c r="D256">
        <f>IF(INVENTARIO!D256="","",INVENTARIO!D256)</f>
        <v/>
      </c>
      <c r="E256">
        <f>IF(D256="","",MAX(0,C256-D256))</f>
        <v/>
      </c>
      <c r="F256">
        <f>IF(D256="","PENDIENTE",IF(D256&lt;C256,"REPOSICIÓN","OK"))</f>
        <v/>
      </c>
      <c r="G256">
        <f>INVENTARIO!F256</f>
        <v/>
      </c>
    </row>
    <row r="257">
      <c r="A257">
        <f>INVENTARIO!A257</f>
        <v/>
      </c>
      <c r="B257">
        <f>INVENTARIO!B257</f>
        <v/>
      </c>
      <c r="C257">
        <f>INVENTARIO!C257</f>
        <v/>
      </c>
      <c r="D257">
        <f>IF(INVENTARIO!D257="","",INVENTARIO!D257)</f>
        <v/>
      </c>
      <c r="E257">
        <f>IF(D257="","",MAX(0,C257-D257))</f>
        <v/>
      </c>
      <c r="F257">
        <f>IF(D257="","PENDIENTE",IF(D257&lt;C257,"REPOSICIÓN","OK"))</f>
        <v/>
      </c>
      <c r="G257">
        <f>INVENTARIO!F257</f>
        <v/>
      </c>
    </row>
    <row r="258">
      <c r="A258">
        <f>INVENTARIO!A258</f>
        <v/>
      </c>
      <c r="B258">
        <f>INVENTARIO!B258</f>
        <v/>
      </c>
      <c r="C258">
        <f>INVENTARIO!C258</f>
        <v/>
      </c>
      <c r="D258">
        <f>IF(INVENTARIO!D258="","",INVENTARIO!D258)</f>
        <v/>
      </c>
      <c r="E258">
        <f>IF(D258="","",MAX(0,C258-D258))</f>
        <v/>
      </c>
      <c r="F258">
        <f>IF(D258="","PENDIENTE",IF(D258&lt;C258,"REPOSICIÓN","OK"))</f>
        <v/>
      </c>
      <c r="G258">
        <f>INVENTARIO!F258</f>
        <v/>
      </c>
    </row>
  </sheetData>
  <autoFilter ref="A1:G2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SISTEMA URGG – INVENTARIO Y REPOSICIÓN MEDIANTE QR</t>
        </is>
      </c>
    </row>
    <row r="2">
      <c r="A2" t="inlineStr">
        <is>
          <t>1. Cada producto tiene un código único URGG-XXX.</t>
        </is>
      </c>
    </row>
    <row r="3">
      <c r="A3" t="inlineStr">
        <is>
          <t>2. El QR se utilizará para identificar rápidamente el producto durante el recuento.</t>
        </is>
      </c>
    </row>
    <row r="4">
      <c r="A4" t="inlineStr">
        <is>
          <t>3. En cada recuento se introduce el STOCK CONTADO.</t>
        </is>
      </c>
    </row>
    <row r="5">
      <c r="A5" t="inlineStr">
        <is>
          <t>4. La hoja REPOSICION calcula automáticamente la cantidad que falta respecto al PACTO.</t>
        </is>
      </c>
    </row>
    <row r="6">
      <c r="A6" t="inlineStr">
        <is>
          <t>5. Las columnas Pacto, ubicación y datos maestros deben validarse antes de poner el sistema en producción.</t>
        </is>
      </c>
    </row>
    <row r="7">
      <c r="A7" t="inlineStr">
        <is>
          <t>6. Esta versión es una BASE DE TRABAJO: el PDF no aporta ubicaciones concretas ni un histórico de consumos.</t>
        </is>
      </c>
    </row>
    <row r="8">
      <c r="A8" t="inlineStr">
        <is>
          <t>7. Para una aplicación real, el siguiente paso es conectar esta base a un formulario/app móvil y generar las etiquetas QR.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2026-10-22T08:18:52Z</dcterms:created>
  <dcterms:modified xmlns:dcterms="http://purl.org/dc/terms/" xmlns:xsi="http://www.w3.org/2001/XMLSchema-instance" xsi:type="dcterms:W3CDTF">2026-10-22T08:18:52Z</dcterms:modified>
</cp:coreProperties>
</file>